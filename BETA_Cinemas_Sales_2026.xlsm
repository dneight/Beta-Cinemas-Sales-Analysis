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01"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Users/duyennguyen/Desktop/"/>
    </mc:Choice>
  </mc:AlternateContent>
  <xr:revisionPtr revIDLastSave="0" documentId="13_ncr:1_{976CA59C-54CF-C64D-9276-A8F057E9A472}" xr6:coauthVersionLast="47" xr6:coauthVersionMax="47" xr10:uidLastSave="{00000000-0000-0000-0000-000000000000}"/>
  <bookViews>
    <workbookView xWindow="4420" yWindow="660" windowWidth="24980" windowHeight="18460" activeTab="2" xr2:uid="{410195A5-4A40-014D-B765-0324E49BD4F4}"/>
  </bookViews>
  <sheets>
    <sheet name="Showtimes_Master" sheetId="2" r:id="rId1"/>
    <sheet name="Partners" sheetId="3" r:id="rId2"/>
    <sheet name="SALES" sheetId="1" r:id="rId3"/>
    <sheet name="DASHBOARD" sheetId="6" r:id="rId4"/>
    <sheet name="VBA" sheetId="7" r:id="rId5"/>
  </sheets>
  <definedNames>
    <definedName name="_xlnm._FilterDatabase" localSheetId="2" hidden="1">SALES!$A$1:$I$91</definedName>
    <definedName name="_xlnm._FilterDatabase" localSheetId="4" hidden="1">VBA!$B$2:$H$3</definedName>
    <definedName name="_xlnm.Criteria" localSheetId="4">VBA!$B$2:$J$3</definedName>
    <definedName name="_xlnm.Extract" localSheetId="4">VBA!$B$17:$J$17</definedName>
    <definedName name="Slicer_Movie_Name">#N/A</definedName>
    <definedName name="Slicer_Theater">#N/A</definedName>
    <definedName name="Slicer_Total_Seats">#N/A</definedName>
  </definedNames>
  <calcPr calcId="191029"/>
  <pivotCaches>
    <pivotCache cacheId="2"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a="1"/>
  <c r="B2" i="1" s="1"/>
  <c r="C2" i="1" s="1"/>
  <c r="B3" i="1" a="1"/>
  <c r="B3" i="1" s="1"/>
  <c r="C3" i="1" s="1"/>
  <c r="B4" i="1" a="1"/>
  <c r="B4" i="1" s="1"/>
  <c r="C4" i="1" s="1"/>
  <c r="B5" i="1" a="1"/>
  <c r="B5" i="1" s="1"/>
  <c r="C5" i="1" s="1"/>
  <c r="B6" i="1" a="1"/>
  <c r="B6" i="1" s="1"/>
  <c r="C6" i="1" s="1"/>
  <c r="B7" i="1" a="1"/>
  <c r="B7" i="1" s="1"/>
  <c r="C7" i="1" s="1"/>
  <c r="B8" i="1" a="1"/>
  <c r="B8" i="1" s="1"/>
  <c r="C8" i="1" s="1"/>
  <c r="B9" i="1" a="1"/>
  <c r="B9" i="1" s="1"/>
  <c r="C9" i="1" s="1"/>
  <c r="B10" i="1" a="1"/>
  <c r="B10" i="1" s="1"/>
  <c r="C10" i="1" s="1"/>
  <c r="B11" i="1" a="1"/>
  <c r="B11" i="1" s="1"/>
  <c r="C11" i="1" s="1"/>
  <c r="B12" i="1" a="1"/>
  <c r="B12" i="1" s="1"/>
  <c r="C12" i="1" s="1"/>
  <c r="B13" i="1" a="1"/>
  <c r="B13" i="1" s="1"/>
  <c r="C13" i="1" s="1"/>
  <c r="B14" i="1" a="1"/>
  <c r="B14" i="1" s="1"/>
  <c r="C14" i="1" s="1"/>
  <c r="B15" i="1" a="1"/>
  <c r="B15" i="1" s="1"/>
  <c r="C15" i="1" s="1"/>
  <c r="B16" i="1" a="1"/>
  <c r="B16" i="1" s="1"/>
  <c r="C16" i="1" s="1"/>
  <c r="B17" i="1" a="1"/>
  <c r="B17" i="1" s="1"/>
  <c r="C17" i="1" s="1"/>
  <c r="B18" i="1" a="1"/>
  <c r="B18" i="1" s="1"/>
  <c r="C18" i="1" s="1"/>
  <c r="B19" i="1" a="1"/>
  <c r="B19" i="1" s="1"/>
  <c r="C19" i="1" s="1"/>
  <c r="B20" i="1" a="1"/>
  <c r="B20" i="1" s="1"/>
  <c r="C20" i="1" s="1"/>
  <c r="B21" i="1" a="1"/>
  <c r="B21" i="1" s="1"/>
  <c r="C21" i="1" s="1"/>
  <c r="B22" i="1" a="1"/>
  <c r="B22" i="1" s="1"/>
  <c r="C22" i="1" s="1"/>
  <c r="B23" i="1" a="1"/>
  <c r="B23" i="1" s="1"/>
  <c r="C23" i="1" s="1"/>
  <c r="B24" i="1" a="1"/>
  <c r="B24" i="1" s="1"/>
  <c r="C24" i="1" s="1"/>
  <c r="B25" i="1" a="1"/>
  <c r="B25" i="1" s="1"/>
  <c r="C25" i="1" s="1"/>
  <c r="B26" i="1" a="1"/>
  <c r="B26" i="1" s="1"/>
  <c r="C26" i="1" s="1"/>
  <c r="B27" i="1" a="1"/>
  <c r="B27" i="1" s="1"/>
  <c r="C27" i="1" s="1"/>
  <c r="B28" i="1" a="1"/>
  <c r="B28" i="1" s="1"/>
  <c r="C28" i="1" s="1"/>
  <c r="B29" i="1" a="1"/>
  <c r="B29" i="1" s="1"/>
  <c r="C29" i="1" s="1"/>
  <c r="B30" i="1" a="1"/>
  <c r="B30" i="1" s="1"/>
  <c r="C30" i="1" s="1"/>
  <c r="B31" i="1" a="1"/>
  <c r="B31" i="1" s="1"/>
  <c r="C31" i="1" s="1"/>
  <c r="B32" i="1" a="1"/>
  <c r="B32" i="1" s="1"/>
  <c r="C32" i="1" s="1"/>
  <c r="B33" i="1" a="1"/>
  <c r="B33" i="1" s="1"/>
  <c r="C33" i="1" s="1"/>
  <c r="B34" i="1" a="1"/>
  <c r="B34" i="1" s="1"/>
  <c r="C34" i="1" s="1"/>
  <c r="B35" i="1" a="1"/>
  <c r="B35" i="1" s="1"/>
  <c r="C35" i="1" s="1"/>
  <c r="B36" i="1" a="1"/>
  <c r="B36" i="1" s="1"/>
  <c r="C36" i="1" s="1"/>
  <c r="B37" i="1" a="1"/>
  <c r="B37" i="1" s="1"/>
  <c r="C37" i="1" s="1"/>
  <c r="B38" i="1" a="1"/>
  <c r="B38" i="1" s="1"/>
  <c r="C38" i="1" s="1"/>
  <c r="B39" i="1" a="1"/>
  <c r="B39" i="1" s="1"/>
  <c r="C39" i="1" s="1"/>
  <c r="B40" i="1" a="1"/>
  <c r="B40" i="1" s="1"/>
  <c r="C40" i="1" s="1"/>
  <c r="B41" i="1" a="1"/>
  <c r="B41" i="1" s="1"/>
  <c r="C41" i="1" s="1"/>
  <c r="B42" i="1" a="1"/>
  <c r="B42" i="1" s="1"/>
  <c r="C42" i="1" s="1"/>
  <c r="B43" i="1" a="1"/>
  <c r="B43" i="1" s="1"/>
  <c r="C43" i="1" s="1"/>
  <c r="B44" i="1" a="1"/>
  <c r="B44" i="1" s="1"/>
  <c r="C44" i="1" s="1"/>
  <c r="B45" i="1" a="1"/>
  <c r="B45" i="1" s="1"/>
  <c r="C45" i="1" s="1"/>
  <c r="B46" i="1" a="1"/>
  <c r="B46" i="1" s="1"/>
  <c r="C46" i="1" s="1"/>
  <c r="B47" i="1" a="1"/>
  <c r="B47" i="1" s="1"/>
  <c r="C47" i="1" s="1"/>
  <c r="B48" i="1" a="1"/>
  <c r="B48" i="1" s="1"/>
  <c r="C48" i="1" s="1"/>
  <c r="B49" i="1" a="1"/>
  <c r="B49" i="1" s="1"/>
  <c r="C49" i="1" s="1"/>
  <c r="B50" i="1" a="1"/>
  <c r="B50" i="1" s="1"/>
  <c r="C50" i="1" s="1"/>
  <c r="B51" i="1" a="1"/>
  <c r="B51" i="1" s="1"/>
  <c r="C51" i="1" s="1"/>
  <c r="B52" i="1" a="1"/>
  <c r="B52" i="1" s="1"/>
  <c r="C52" i="1" s="1"/>
  <c r="B53" i="1" a="1"/>
  <c r="B53" i="1" s="1"/>
  <c r="C53" i="1" s="1"/>
  <c r="B54" i="1" a="1"/>
  <c r="B54" i="1" s="1"/>
  <c r="C54" i="1" s="1"/>
  <c r="B55" i="1" a="1"/>
  <c r="B55" i="1" s="1"/>
  <c r="C55" i="1" s="1"/>
  <c r="B56" i="1" a="1"/>
  <c r="B56" i="1" s="1"/>
  <c r="C56" i="1" s="1"/>
  <c r="B57" i="1" a="1"/>
  <c r="B57" i="1" s="1"/>
  <c r="C57" i="1" s="1"/>
  <c r="B58" i="1" a="1"/>
  <c r="B58" i="1" s="1"/>
  <c r="C58" i="1" s="1"/>
  <c r="B59" i="1" a="1"/>
  <c r="B59" i="1" s="1"/>
  <c r="C59" i="1" s="1"/>
  <c r="B60" i="1" a="1"/>
  <c r="B60" i="1" s="1"/>
  <c r="C60" i="1" s="1"/>
  <c r="B61" i="1" a="1"/>
  <c r="B61" i="1" s="1"/>
  <c r="C61" i="1" s="1"/>
  <c r="B62" i="1" a="1"/>
  <c r="B62" i="1" s="1"/>
  <c r="C62" i="1" s="1"/>
  <c r="B63" i="1" a="1"/>
  <c r="B63" i="1" s="1"/>
  <c r="C63" i="1" s="1"/>
  <c r="B64" i="1" a="1"/>
  <c r="B64" i="1" s="1"/>
  <c r="C64" i="1" s="1"/>
  <c r="B65" i="1" a="1"/>
  <c r="B65" i="1" s="1"/>
  <c r="C65" i="1" s="1"/>
  <c r="B66" i="1" a="1"/>
  <c r="B66" i="1" s="1"/>
  <c r="C66" i="1" s="1"/>
  <c r="B67" i="1" a="1"/>
  <c r="B67" i="1" s="1"/>
  <c r="C67" i="1" s="1"/>
  <c r="B68" i="1" a="1"/>
  <c r="B68" i="1" s="1"/>
  <c r="C68" i="1" s="1"/>
  <c r="B69" i="1" a="1"/>
  <c r="B69" i="1" s="1"/>
  <c r="C69" i="1" s="1"/>
  <c r="B70" i="1" a="1"/>
  <c r="B70" i="1" s="1"/>
  <c r="C70" i="1" s="1"/>
  <c r="B71" i="1" a="1"/>
  <c r="B71" i="1" s="1"/>
  <c r="C71" i="1" s="1"/>
  <c r="B72" i="1" a="1"/>
  <c r="B72" i="1" s="1"/>
  <c r="C72" i="1" s="1"/>
  <c r="B73" i="1" a="1"/>
  <c r="B73" i="1" s="1"/>
  <c r="C73" i="1" s="1"/>
  <c r="B74" i="1" a="1"/>
  <c r="B74" i="1" s="1"/>
  <c r="C74" i="1" s="1"/>
  <c r="B75" i="1" a="1"/>
  <c r="B75" i="1" s="1"/>
  <c r="C75" i="1" s="1"/>
  <c r="B76" i="1" a="1"/>
  <c r="B76" i="1" s="1"/>
  <c r="C76" i="1" s="1"/>
  <c r="B77" i="1" a="1"/>
  <c r="B77" i="1" s="1"/>
  <c r="C77" i="1" s="1"/>
  <c r="B78" i="1" a="1"/>
  <c r="B78" i="1" s="1"/>
  <c r="C78" i="1" s="1"/>
  <c r="B79" i="1" a="1"/>
  <c r="B79" i="1" s="1"/>
  <c r="C79" i="1" s="1"/>
  <c r="B80" i="1" a="1"/>
  <c r="B80" i="1" s="1"/>
  <c r="C80" i="1" s="1"/>
  <c r="B81" i="1" a="1"/>
  <c r="B81" i="1" s="1"/>
  <c r="C81" i="1" s="1"/>
  <c r="B82" i="1" a="1"/>
  <c r="B82" i="1" s="1"/>
  <c r="C82" i="1" s="1"/>
  <c r="B83" i="1" a="1"/>
  <c r="B83" i="1" s="1"/>
  <c r="C83" i="1" s="1"/>
  <c r="B84" i="1" a="1"/>
  <c r="B84" i="1" s="1"/>
  <c r="C84" i="1" s="1"/>
  <c r="B85" i="1" a="1"/>
  <c r="B85" i="1" s="1"/>
  <c r="C85" i="1" s="1"/>
  <c r="B86" i="1" a="1"/>
  <c r="B86" i="1" s="1"/>
  <c r="C86" i="1" s="1"/>
  <c r="B87" i="1" a="1"/>
  <c r="B87" i="1" s="1"/>
  <c r="C87" i="1" s="1"/>
  <c r="B88" i="1" a="1"/>
  <c r="B88" i="1" s="1"/>
  <c r="C88" i="1" s="1"/>
  <c r="B89" i="1" a="1"/>
  <c r="B89" i="1" s="1"/>
  <c r="C89" i="1" s="1"/>
  <c r="B90" i="1" a="1"/>
  <c r="B90" i="1" s="1"/>
  <c r="C90" i="1" s="1"/>
  <c r="B91" i="1" a="1"/>
  <c r="B91" i="1" s="1"/>
  <c r="C91" i="1" s="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2" i="1"/>
  <c r="E65" i="1" l="1"/>
  <c r="E64" i="1"/>
  <c r="E32" i="1"/>
  <c r="E17" i="1"/>
  <c r="E16" i="1"/>
  <c r="D57" i="1"/>
  <c r="D56" i="1"/>
  <c r="D17" i="1"/>
  <c r="D87" i="1"/>
  <c r="E80" i="1"/>
  <c r="E33" i="1"/>
  <c r="D63" i="1"/>
  <c r="E79" i="1"/>
  <c r="E31" i="1"/>
  <c r="E63" i="1"/>
  <c r="D16" i="1"/>
  <c r="E49" i="1"/>
  <c r="E15" i="1"/>
  <c r="D15" i="1"/>
  <c r="E48" i="1"/>
  <c r="E81" i="1"/>
  <c r="E47" i="1"/>
  <c r="E58" i="1"/>
  <c r="D81" i="1"/>
  <c r="D40" i="1"/>
  <c r="E89" i="1"/>
  <c r="E73" i="1"/>
  <c r="E57" i="1"/>
  <c r="E41" i="1"/>
  <c r="E25" i="1"/>
  <c r="E9" i="1"/>
  <c r="D41" i="1"/>
  <c r="E26" i="1"/>
  <c r="D80" i="1"/>
  <c r="D39" i="1"/>
  <c r="E88" i="1"/>
  <c r="E72" i="1"/>
  <c r="E56" i="1"/>
  <c r="E40" i="1"/>
  <c r="E24" i="1"/>
  <c r="E8" i="1"/>
  <c r="E90" i="1"/>
  <c r="E42" i="1"/>
  <c r="D79" i="1"/>
  <c r="D33" i="1"/>
  <c r="E87" i="1"/>
  <c r="E71" i="1"/>
  <c r="E55" i="1"/>
  <c r="E39" i="1"/>
  <c r="E23" i="1"/>
  <c r="E7" i="1"/>
  <c r="E74" i="1"/>
  <c r="E10" i="1"/>
  <c r="D64" i="1"/>
  <c r="D23" i="1"/>
  <c r="E82" i="1"/>
  <c r="E66" i="1"/>
  <c r="E50" i="1"/>
  <c r="E34" i="1"/>
  <c r="E18" i="1"/>
  <c r="D73" i="1"/>
  <c r="D55" i="1"/>
  <c r="D32" i="1"/>
  <c r="D9" i="1"/>
  <c r="E86" i="1"/>
  <c r="E78" i="1"/>
  <c r="E70" i="1"/>
  <c r="E62" i="1"/>
  <c r="E54" i="1"/>
  <c r="E46" i="1"/>
  <c r="E38" i="1"/>
  <c r="E30" i="1"/>
  <c r="E22" i="1"/>
  <c r="E14" i="1"/>
  <c r="E6" i="1"/>
  <c r="D72" i="1"/>
  <c r="D49" i="1"/>
  <c r="D31" i="1"/>
  <c r="D8" i="1"/>
  <c r="E85" i="1"/>
  <c r="E77" i="1"/>
  <c r="E69" i="1"/>
  <c r="E61" i="1"/>
  <c r="E53" i="1"/>
  <c r="E45" i="1"/>
  <c r="E37" i="1"/>
  <c r="E29" i="1"/>
  <c r="E21" i="1"/>
  <c r="E13" i="1"/>
  <c r="E5" i="1"/>
  <c r="D89" i="1"/>
  <c r="D71" i="1"/>
  <c r="D48" i="1"/>
  <c r="D25" i="1"/>
  <c r="D7" i="1"/>
  <c r="E84" i="1"/>
  <c r="E76" i="1"/>
  <c r="E68" i="1"/>
  <c r="E60" i="1"/>
  <c r="E52" i="1"/>
  <c r="E44" i="1"/>
  <c r="E36" i="1"/>
  <c r="E28" i="1"/>
  <c r="E20" i="1"/>
  <c r="E12" i="1"/>
  <c r="E4" i="1"/>
  <c r="D88" i="1"/>
  <c r="D65" i="1"/>
  <c r="D47" i="1"/>
  <c r="D24" i="1"/>
  <c r="E91" i="1"/>
  <c r="E83" i="1"/>
  <c r="E75" i="1"/>
  <c r="E67" i="1"/>
  <c r="E59" i="1"/>
  <c r="E51" i="1"/>
  <c r="E43" i="1"/>
  <c r="E35" i="1"/>
  <c r="E27" i="1"/>
  <c r="E19" i="1"/>
  <c r="E11" i="1"/>
  <c r="E3" i="1"/>
  <c r="D90" i="1"/>
  <c r="D82" i="1"/>
  <c r="D74" i="1"/>
  <c r="D66" i="1"/>
  <c r="D58" i="1"/>
  <c r="D50" i="1"/>
  <c r="D42" i="1"/>
  <c r="D34" i="1"/>
  <c r="D26" i="1"/>
  <c r="D18" i="1"/>
  <c r="D10" i="1"/>
  <c r="D86" i="1"/>
  <c r="D78" i="1"/>
  <c r="D70" i="1"/>
  <c r="D62" i="1"/>
  <c r="D54" i="1"/>
  <c r="D46" i="1"/>
  <c r="D38" i="1"/>
  <c r="D30" i="1"/>
  <c r="D22" i="1"/>
  <c r="D14" i="1"/>
  <c r="D6" i="1"/>
  <c r="D85" i="1"/>
  <c r="D77" i="1"/>
  <c r="D69" i="1"/>
  <c r="D61" i="1"/>
  <c r="D53" i="1"/>
  <c r="D45" i="1"/>
  <c r="D37" i="1"/>
  <c r="D29" i="1"/>
  <c r="D21" i="1"/>
  <c r="D13" i="1"/>
  <c r="D5" i="1"/>
  <c r="D84" i="1"/>
  <c r="D76" i="1"/>
  <c r="D68" i="1"/>
  <c r="D60" i="1"/>
  <c r="D52" i="1"/>
  <c r="D44" i="1"/>
  <c r="D36" i="1"/>
  <c r="D28" i="1"/>
  <c r="D20" i="1"/>
  <c r="D12" i="1"/>
  <c r="D4" i="1"/>
  <c r="D91" i="1"/>
  <c r="D83" i="1"/>
  <c r="D75" i="1"/>
  <c r="D67" i="1"/>
  <c r="D59" i="1"/>
  <c r="D51" i="1"/>
  <c r="D43" i="1"/>
  <c r="D35" i="1"/>
  <c r="D27" i="1"/>
  <c r="D19" i="1"/>
  <c r="D11" i="1"/>
  <c r="D3" i="1"/>
  <c r="E2" i="1"/>
  <c r="D2" i="1"/>
  <c r="F19" i="1" l="1"/>
  <c r="I19" i="1" s="1"/>
  <c r="F83" i="1"/>
  <c r="I83" i="1" s="1"/>
  <c r="F20" i="1"/>
  <c r="I20" i="1" s="1"/>
  <c r="F84" i="1"/>
  <c r="H84" i="1" s="1"/>
  <c r="F21" i="1"/>
  <c r="I21" i="1" s="1"/>
  <c r="F85" i="1"/>
  <c r="H85" i="1" s="1"/>
  <c r="F30" i="1"/>
  <c r="I30" i="1" s="1"/>
  <c r="F82" i="1"/>
  <c r="H82" i="1" s="1"/>
  <c r="F55" i="1"/>
  <c r="I55" i="1" s="1"/>
  <c r="F24" i="1"/>
  <c r="I24" i="1" s="1"/>
  <c r="F28" i="1"/>
  <c r="H28" i="1" s="1"/>
  <c r="F29" i="1"/>
  <c r="H29" i="1" s="1"/>
  <c r="F38" i="1"/>
  <c r="I38" i="1" s="1"/>
  <c r="F71" i="1"/>
  <c r="I71" i="1" s="1"/>
  <c r="F40" i="1"/>
  <c r="H40" i="1" s="1"/>
  <c r="F9" i="1"/>
  <c r="H9" i="1" s="1"/>
  <c r="F58" i="1"/>
  <c r="I58" i="1" s="1"/>
  <c r="F63" i="1"/>
  <c r="H63" i="1" s="1"/>
  <c r="F36" i="1"/>
  <c r="I36" i="1" s="1"/>
  <c r="F37" i="1"/>
  <c r="I37" i="1" s="1"/>
  <c r="F46" i="1"/>
  <c r="I46" i="1" s="1"/>
  <c r="F87" i="1"/>
  <c r="H87" i="1" s="1"/>
  <c r="F56" i="1"/>
  <c r="I56" i="1" s="1"/>
  <c r="F25" i="1"/>
  <c r="H25" i="1" s="1"/>
  <c r="F47" i="1"/>
  <c r="I47" i="1" s="1"/>
  <c r="F31" i="1"/>
  <c r="H31" i="1" s="1"/>
  <c r="F54" i="1"/>
  <c r="I54" i="1" s="1"/>
  <c r="F10" i="1"/>
  <c r="H10" i="1" s="1"/>
  <c r="F72" i="1"/>
  <c r="I72" i="1" s="1"/>
  <c r="F41" i="1"/>
  <c r="I41" i="1" s="1"/>
  <c r="F81" i="1"/>
  <c r="H81" i="1" s="1"/>
  <c r="F79" i="1"/>
  <c r="H79" i="1" s="1"/>
  <c r="F16" i="1"/>
  <c r="I16" i="1" s="1"/>
  <c r="F35" i="1"/>
  <c r="I35" i="1" s="1"/>
  <c r="F88" i="1"/>
  <c r="H88" i="1" s="1"/>
  <c r="F57" i="1"/>
  <c r="H57" i="1" s="1"/>
  <c r="F48" i="1"/>
  <c r="I48" i="1" s="1"/>
  <c r="F17" i="1"/>
  <c r="I17" i="1" s="1"/>
  <c r="F91" i="1"/>
  <c r="I91" i="1" s="1"/>
  <c r="F43" i="1"/>
  <c r="I43" i="1" s="1"/>
  <c r="F45" i="1"/>
  <c r="I45" i="1" s="1"/>
  <c r="F53" i="1"/>
  <c r="I53" i="1" s="1"/>
  <c r="F18" i="1"/>
  <c r="I18" i="1" s="1"/>
  <c r="F59" i="1"/>
  <c r="H59" i="1" s="1"/>
  <c r="F60" i="1"/>
  <c r="I60" i="1" s="1"/>
  <c r="F61" i="1"/>
  <c r="I61" i="1" s="1"/>
  <c r="F6" i="1"/>
  <c r="I6" i="1" s="1"/>
  <c r="F70" i="1"/>
  <c r="H70" i="1" s="1"/>
  <c r="F34" i="1"/>
  <c r="I34" i="1" s="1"/>
  <c r="F7" i="1"/>
  <c r="H7" i="1" s="1"/>
  <c r="F42" i="1"/>
  <c r="H42" i="1" s="1"/>
  <c r="F73" i="1"/>
  <c r="H73" i="1" s="1"/>
  <c r="F33" i="1"/>
  <c r="I33" i="1" s="1"/>
  <c r="F32" i="1"/>
  <c r="I32" i="1" s="1"/>
  <c r="F27" i="1"/>
  <c r="I27" i="1" s="1"/>
  <c r="F44" i="1"/>
  <c r="H44" i="1" s="1"/>
  <c r="F51" i="1"/>
  <c r="I51" i="1" s="1"/>
  <c r="F52" i="1"/>
  <c r="I52" i="1" s="1"/>
  <c r="F62" i="1"/>
  <c r="I62" i="1" s="1"/>
  <c r="F3" i="1"/>
  <c r="I3" i="1" s="1"/>
  <c r="F67" i="1"/>
  <c r="I67" i="1" s="1"/>
  <c r="F4" i="1"/>
  <c r="I4" i="1" s="1"/>
  <c r="F68" i="1"/>
  <c r="I68" i="1" s="1"/>
  <c r="F5" i="1"/>
  <c r="H5" i="1" s="1"/>
  <c r="F69" i="1"/>
  <c r="I69" i="1" s="1"/>
  <c r="F14" i="1"/>
  <c r="H14" i="1" s="1"/>
  <c r="F78" i="1"/>
  <c r="H78" i="1" s="1"/>
  <c r="F50" i="1"/>
  <c r="H50" i="1" s="1"/>
  <c r="F23" i="1"/>
  <c r="I23" i="1" s="1"/>
  <c r="F90" i="1"/>
  <c r="I90" i="1" s="1"/>
  <c r="F89" i="1"/>
  <c r="I89" i="1" s="1"/>
  <c r="F15" i="1"/>
  <c r="H15" i="1" s="1"/>
  <c r="F80" i="1"/>
  <c r="I80" i="1" s="1"/>
  <c r="F64" i="1"/>
  <c r="H64" i="1" s="1"/>
  <c r="F74" i="1"/>
  <c r="I74" i="1" s="1"/>
  <c r="F11" i="1"/>
  <c r="I11" i="1" s="1"/>
  <c r="F75" i="1"/>
  <c r="I75" i="1" s="1"/>
  <c r="F12" i="1"/>
  <c r="H12" i="1" s="1"/>
  <c r="F76" i="1"/>
  <c r="H76" i="1" s="1"/>
  <c r="F13" i="1"/>
  <c r="H13" i="1" s="1"/>
  <c r="F77" i="1"/>
  <c r="I77" i="1" s="1"/>
  <c r="F22" i="1"/>
  <c r="I22" i="1" s="1"/>
  <c r="F86" i="1"/>
  <c r="I86" i="1" s="1"/>
  <c r="F66" i="1"/>
  <c r="I66" i="1" s="1"/>
  <c r="F39" i="1"/>
  <c r="I39" i="1" s="1"/>
  <c r="F8" i="1"/>
  <c r="H8" i="1" s="1"/>
  <c r="F26" i="1"/>
  <c r="H26" i="1" s="1"/>
  <c r="F49" i="1"/>
  <c r="H49" i="1" s="1"/>
  <c r="F65" i="1"/>
  <c r="I65" i="1" s="1"/>
  <c r="F2" i="1"/>
  <c r="I2" i="1" s="1"/>
  <c r="H83" i="1"/>
  <c r="H55" i="1"/>
  <c r="H58" i="1"/>
  <c r="H45" i="1"/>
  <c r="H51" i="1"/>
  <c r="H52" i="1"/>
  <c r="H34" i="1"/>
  <c r="H19" i="1"/>
  <c r="H47" i="1"/>
  <c r="H16" i="1"/>
  <c r="H69" i="1"/>
  <c r="H80" i="1"/>
  <c r="H77" i="1"/>
  <c r="H35" i="1" l="1"/>
  <c r="H36" i="1"/>
  <c r="H65" i="1"/>
  <c r="H22" i="1"/>
  <c r="H24" i="1"/>
  <c r="H54" i="1"/>
  <c r="H20" i="1"/>
  <c r="H74" i="1"/>
  <c r="H18" i="1"/>
  <c r="H2" i="1"/>
  <c r="H53" i="1"/>
  <c r="H86" i="1"/>
  <c r="H43" i="1"/>
  <c r="H39" i="1"/>
  <c r="H37" i="1"/>
  <c r="H27" i="1"/>
  <c r="H21" i="1"/>
  <c r="H33" i="1"/>
  <c r="H67" i="1"/>
  <c r="H6" i="1"/>
  <c r="H61" i="1"/>
  <c r="H23" i="1"/>
  <c r="H60" i="1"/>
  <c r="H56" i="1"/>
  <c r="H89" i="1"/>
  <c r="H30" i="1"/>
  <c r="H46" i="1"/>
  <c r="H17" i="1"/>
  <c r="H48" i="1"/>
  <c r="H11" i="1"/>
  <c r="H68" i="1"/>
  <c r="H71" i="1"/>
  <c r="H62" i="1"/>
  <c r="H90" i="1"/>
  <c r="H75" i="1"/>
  <c r="H41" i="1"/>
  <c r="H72" i="1"/>
  <c r="H4" i="1"/>
  <c r="H32" i="1"/>
  <c r="H91" i="1"/>
  <c r="H38" i="1"/>
  <c r="I15" i="1"/>
  <c r="I44" i="1"/>
  <c r="I73" i="1"/>
  <c r="I70" i="1"/>
  <c r="I59" i="1"/>
  <c r="I57" i="1"/>
  <c r="I79" i="1"/>
  <c r="I10" i="1"/>
  <c r="I25" i="1"/>
  <c r="I9" i="1"/>
  <c r="I29" i="1"/>
  <c r="I82" i="1"/>
  <c r="I84" i="1"/>
  <c r="H66" i="1"/>
  <c r="I42" i="1"/>
  <c r="I81" i="1"/>
  <c r="I40" i="1"/>
  <c r="I28" i="1"/>
  <c r="I13" i="1"/>
  <c r="I50" i="1"/>
  <c r="H3" i="1"/>
  <c r="I26" i="1"/>
  <c r="I8" i="1"/>
  <c r="I12" i="1"/>
  <c r="I64" i="1"/>
  <c r="I14" i="1"/>
  <c r="I7" i="1"/>
  <c r="I31" i="1"/>
  <c r="I87" i="1"/>
  <c r="I63" i="1"/>
  <c r="I85" i="1"/>
  <c r="I49" i="1"/>
  <c r="I5" i="1"/>
  <c r="I78" i="1"/>
  <c r="I76" i="1"/>
  <c r="I8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<sst xmlns="http://schemas.openxmlformats.org/spreadsheetml/2006/main" count="220" uniqueCount="59">
  <si>
    <t>Theater</t>
  </si>
  <si>
    <t>Showtime</t>
  </si>
  <si>
    <t>Admissions</t>
  </si>
  <si>
    <t>ATP</t>
  </si>
  <si>
    <t>Mai</t>
  </si>
  <si>
    <t>Drama</t>
  </si>
  <si>
    <t>Kungfu Panda 4</t>
  </si>
  <si>
    <t>Animation</t>
  </si>
  <si>
    <t>Dune: Part Two</t>
  </si>
  <si>
    <t>Đào, Phở và Piano</t>
  </si>
  <si>
    <t>History</t>
  </si>
  <si>
    <t>Comedy</t>
  </si>
  <si>
    <t>Action</t>
  </si>
  <si>
    <t>Movie Name (Phim)</t>
  </si>
  <si>
    <t>Distributor (Nhà phát hành)</t>
  </si>
  <si>
    <t>Revenue Share % (Tỷ lệ ăn chia)</t>
  </si>
  <si>
    <t>Genre (Thể loại)</t>
  </si>
  <si>
    <t>CJ ENM</t>
  </si>
  <si>
    <t>Nhà nước (VFC)</t>
  </si>
  <si>
    <t>Warner Bros (Galaxy)</t>
  </si>
  <si>
    <t>Action/Sci-Fi</t>
  </si>
  <si>
    <t>CJ ENM (Distribution)</t>
  </si>
  <si>
    <t>Gặp Lại Chị Bầu</t>
  </si>
  <si>
    <t>Galaxy Studio</t>
  </si>
  <si>
    <t>Godzilla x Kong</t>
  </si>
  <si>
    <t>Showtime_ID</t>
  </si>
  <si>
    <t>Movie Name</t>
  </si>
  <si>
    <t>Total Seats</t>
  </si>
  <si>
    <t>Screen Type</t>
  </si>
  <si>
    <t>ST001</t>
  </si>
  <si>
    <t>Beta Quang Trung</t>
  </si>
  <si>
    <t>2D</t>
  </si>
  <si>
    <t>ST002</t>
  </si>
  <si>
    <t>Beta Bình Thạnh</t>
  </si>
  <si>
    <t>ST003</t>
  </si>
  <si>
    <t>IMAX</t>
  </si>
  <si>
    <t>ST004</t>
  </si>
  <si>
    <t>Beta Thái Nguyên</t>
  </si>
  <si>
    <t>ST005</t>
  </si>
  <si>
    <t>Beta Ung Văn Khiêm</t>
  </si>
  <si>
    <t>ST006</t>
  </si>
  <si>
    <t>Beta Tân Uyên</t>
  </si>
  <si>
    <t>ST007</t>
  </si>
  <si>
    <t>ST008</t>
  </si>
  <si>
    <t>ST009</t>
  </si>
  <si>
    <t>ST010</t>
  </si>
  <si>
    <t>Box Office</t>
  </si>
  <si>
    <t>Occupancy %</t>
  </si>
  <si>
    <t>Row Labels</t>
  </si>
  <si>
    <t>Grand Total</t>
  </si>
  <si>
    <t>Sum of Occupancy %</t>
  </si>
  <si>
    <t>Sum of Box Office</t>
  </si>
  <si>
    <t>Column Labels</t>
  </si>
  <si>
    <t>Total Sum of Occupancy %</t>
  </si>
  <si>
    <t>Total Sum of Admissions</t>
  </si>
  <si>
    <t>Sum of Admissions</t>
  </si>
  <si>
    <t>Total Sum of Box Office</t>
  </si>
  <si>
    <t>Results</t>
  </si>
  <si>
    <t>Dates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</si>
</sst>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2"/>
      <color theme="1"/>
      <name val="Aptos Narrow"/>
      <family val="2"/>
      <scheme val="minor"/>
    </font>
    <font>
      <sz val="12"/>
      <color theme="1"/>
      <name val="Times New Roman"/>
      <family val="1"/>
    </font>
    <font>
      <sz val="8"/>
      <name val="Aptos Narrow"/>
      <family val="2"/>
      <scheme val="minor"/>
    </font>
    <font>
      <sz val="16"/>
      <color theme="1"/>
      <name val="Aptos Narrow"/>
      <family val="2"/>
      <scheme val="minor"/>
    </font>
    <font>
      <sz val="20"/>
      <color theme="1"/>
      <name val="Aptos Narrow"/>
      <family val="2"/>
      <scheme val="minor"/>
    </font>
    <font>
      <b/>
      <sz val="14"/>
      <color theme="0"/>
      <name val="Times New Roman"/>
      <family val="1"/>
    </font>
    <font>
      <sz val="14"/>
      <color theme="1"/>
      <name val="Times New Roman"/>
      <family val="1"/>
    </font>
    <font>
      <sz val="14"/>
      <color rgb="FF000000"/>
      <name val="Times New Roman"/>
      <family val="1"/>
    </font>
    <font>
      <b/>
      <sz val="16"/>
      <color rgb="FF000000"/>
      <name val="Times New Roman"/>
      <family val="1"/>
    </font>
    <font>
      <sz val="16"/>
      <color theme="1"/>
      <name val="Times New Roman"/>
      <family val="1"/>
    </font>
    <font>
      <sz val="16"/>
      <color rgb="FF000000"/>
      <name val="Times New Roman"/>
      <family val="1"/>
    </font>
    <font>
      <b/>
      <sz val="18"/>
      <color rgb="FFFFFF00"/>
      <name val="Times New Roman"/>
      <family val="1"/>
    </font>
    <font>
      <b/>
      <sz val="18"/>
      <color theme="1"/>
      <name val="Times New Roman"/>
      <family val="1"/>
    </font>
    <font>
      <b/>
      <sz val="20"/>
      <color rgb="FFFF0000"/>
      <name val="Times New Roman"/>
      <family val="1"/>
    </font>
  </fonts>
  <fills count="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C00000"/>
        <bgColor indexed="64"/>
      </patternFill>
    </fill>
    <fill>
      <patternFill patternType="solid">
        <fgColor theme="0" tint="-0.249977111117893"/>
        <bgColor indexed="64"/>
      </patternFill>
    </fill>
    <fill>
      <patternFill patternType="solid">
        <fgColor theme="1" tint="0.34998626667073579"/>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s>
  <cellStyleXfs count="1">
    <xf numFmtId="0" fontId="0" fillId="0" borderId="0"/>
  </cellStyleXfs>
  <cellXfs count="44">
    <xf numFmtId="0" fontId="0" fillId="0" borderId="0" xfId="0"/>
    <xf numFmtId="0" fontId="3" fillId="0" borderId="0" xfId="0" applyFont="1"/>
    <xf numFmtId="0" fontId="3" fillId="0" borderId="0" xfId="0" pivotButton="1" applyFont="1"/>
    <xf numFmtId="0" fontId="3" fillId="0" borderId="0" xfId="0" applyFont="1" applyAlignment="1">
      <alignment horizontal="left"/>
    </xf>
    <xf numFmtId="0" fontId="3" fillId="0" borderId="0" xfId="0" applyFont="1" applyAlignment="1">
      <alignment horizontal="left" indent="1"/>
    </xf>
    <xf numFmtId="0" fontId="0" fillId="5" borderId="0" xfId="0" applyFill="1"/>
    <xf numFmtId="0" fontId="4" fillId="0" borderId="0" xfId="0" pivotButton="1" applyFont="1"/>
    <xf numFmtId="0" fontId="4" fillId="0" borderId="0" xfId="0" applyFont="1"/>
    <xf numFmtId="9" fontId="4" fillId="0" borderId="0" xfId="0" applyNumberFormat="1" applyFont="1"/>
    <xf numFmtId="3" fontId="4" fillId="0" borderId="0" xfId="0" applyNumberFormat="1" applyFont="1"/>
    <xf numFmtId="0" fontId="5" fillId="4" borderId="5" xfId="0" applyFont="1" applyFill="1" applyBorder="1"/>
    <xf numFmtId="0" fontId="6" fillId="0" borderId="0" xfId="0" applyFont="1"/>
    <xf numFmtId="0" fontId="7" fillId="0" borderId="3" xfId="0" applyFont="1" applyBorder="1"/>
    <xf numFmtId="3" fontId="7" fillId="0" borderId="3" xfId="0" applyNumberFormat="1" applyFont="1" applyBorder="1"/>
    <xf numFmtId="9" fontId="7" fillId="0" borderId="1" xfId="0" applyNumberFormat="1" applyFont="1" applyBorder="1"/>
    <xf numFmtId="0" fontId="1" fillId="0" borderId="0" xfId="0" applyFont="1"/>
    <xf numFmtId="0" fontId="7" fillId="0" borderId="1" xfId="0" applyFont="1" applyBorder="1"/>
    <xf numFmtId="3" fontId="7" fillId="0" borderId="1" xfId="0" applyNumberFormat="1" applyFont="1" applyBorder="1"/>
    <xf numFmtId="0" fontId="6" fillId="0" borderId="0" xfId="0" applyFont="1" applyAlignment="1">
      <alignment horizontal="center"/>
    </xf>
    <xf numFmtId="0" fontId="5" fillId="4" borderId="8" xfId="0" applyFont="1" applyFill="1" applyBorder="1"/>
    <xf numFmtId="14" fontId="1" fillId="0" borderId="1" xfId="0" applyNumberFormat="1" applyFont="1" applyBorder="1"/>
    <xf numFmtId="0" fontId="8" fillId="3" borderId="4" xfId="0" applyFont="1" applyFill="1" applyBorder="1"/>
    <xf numFmtId="0" fontId="8" fillId="3" borderId="5" xfId="0" applyFont="1" applyFill="1" applyBorder="1"/>
    <xf numFmtId="0" fontId="8" fillId="3" borderId="6" xfId="0" applyFont="1" applyFill="1" applyBorder="1"/>
    <xf numFmtId="0" fontId="9" fillId="0" borderId="0" xfId="0" applyFont="1"/>
    <xf numFmtId="0" fontId="10" fillId="0" borderId="3" xfId="0" applyFont="1" applyBorder="1"/>
    <xf numFmtId="9" fontId="10" fillId="0" borderId="3" xfId="0" applyNumberFormat="1" applyFont="1" applyBorder="1"/>
    <xf numFmtId="0" fontId="10" fillId="0" borderId="1" xfId="0" applyFont="1" applyBorder="1"/>
    <xf numFmtId="9" fontId="10" fillId="0" borderId="1" xfId="0" applyNumberFormat="1" applyFont="1" applyBorder="1"/>
    <xf numFmtId="0" fontId="8" fillId="2" borderId="4" xfId="0" applyFont="1" applyFill="1" applyBorder="1"/>
    <xf numFmtId="0" fontId="8" fillId="2" borderId="5" xfId="0" applyFont="1" applyFill="1" applyBorder="1"/>
    <xf numFmtId="0" fontId="8" fillId="2" borderId="6" xfId="0" applyFont="1" applyFill="1" applyBorder="1"/>
    <xf numFmtId="20" fontId="10" fillId="0" borderId="3" xfId="0" applyNumberFormat="1" applyFont="1" applyBorder="1"/>
    <xf numFmtId="20" fontId="10" fillId="0" borderId="1" xfId="0" applyNumberFormat="1" applyFont="1" applyBorder="1"/>
    <xf numFmtId="0" fontId="12" fillId="0" borderId="1" xfId="0" applyFont="1" applyBorder="1"/>
    <xf numFmtId="0" fontId="13" fillId="2" borderId="2" xfId="0" applyFont="1" applyFill="1" applyBorder="1" applyAlignment="1">
      <alignment horizontal="center" vertical="center"/>
    </xf>
    <xf numFmtId="0" fontId="5" fillId="4" borderId="9" xfId="0" applyFont="1" applyFill="1" applyBorder="1"/>
    <xf numFmtId="9" fontId="7" fillId="0" borderId="3" xfId="0" applyNumberFormat="1" applyFont="1" applyBorder="1"/>
    <xf numFmtId="0" fontId="5" fillId="4" borderId="2" xfId="0" applyFont="1" applyFill="1" applyBorder="1"/>
    <xf numFmtId="0" fontId="11" fillId="6" borderId="8" xfId="0" applyFont="1" applyFill="1" applyBorder="1" applyAlignment="1">
      <alignment horizontal="center" vertical="center"/>
    </xf>
    <xf numFmtId="0" fontId="11" fillId="6" borderId="5" xfId="0" applyFont="1" applyFill="1" applyBorder="1" applyAlignment="1">
      <alignment horizontal="center" vertical="center"/>
    </xf>
    <xf numFmtId="0" fontId="11" fillId="6" borderId="10" xfId="0" applyFont="1" applyFill="1" applyBorder="1" applyAlignment="1">
      <alignment horizontal="center" vertical="center"/>
    </xf>
    <xf numFmtId="0" fontId="11" fillId="6" borderId="7" xfId="0" applyFont="1" applyFill="1" applyBorder="1" applyAlignment="1">
      <alignment horizontal="center" vertical="center"/>
    </xf>
    <xf numFmtId="0" fontId="1" fillId="0" borderId="1" xfId="0" applyFont="1" applyBorder="1"/>
  </cellXfs>
  <cellStyles count="1">
    <cellStyle name="Normal" xfId="0" builtinId="0"/>
  </cellStyles>
  <dxfs count="12">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20"/>
      </font>
    </dxf>
    <dxf>
      <font>
        <sz val="16"/>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[BETA_Cinemas_Sales_2026.xlsm]DASHBOARD!PivotTable2</c:name>
    <c:fmtId val="0"/>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DASHBOARD!$B$3:$B$5</c:f>
              <c:strCache>
                <c:ptCount val="1"/>
                <c:pt idx="0">
                  <c:v>Sum of Occupancy % - 100</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DASHBOARD!$B$6:$B$21</c:f>
              <c:numCache>
                <c:formatCode>0%</c:formatCode>
                <c:ptCount val="10"/>
                <c:pt idx="7">
                  <c:v>8.65</c:v>
                </c:pt>
                <c:pt idx="8">
                  <c:v>5.6000000000000005</c:v>
                </c:pt>
              </c:numCache>
            </c:numRef>
          </c:val>
          <c:extLst>
            <c:ext xmlns:c16="http://schemas.microsoft.com/office/drawing/2014/chart" uri="{C3380CC4-5D6E-409C-BE32-E72D297353CC}">
              <c16:uniqueId val="{00000000-208D-F04E-B75A-653FF5F60792}"/>
            </c:ext>
          </c:extLst>
        </c:ser>
        <c:ser>
          <c:idx val="1"/>
          <c:order val="1"/>
          <c:tx>
            <c:strRef>
              <c:f>DASHBOARD!$C$3:$C$5</c:f>
              <c:strCache>
                <c:ptCount val="1"/>
                <c:pt idx="0">
                  <c:v>Sum of Occupancy % - 120</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DASHBOARD!$C$6:$C$21</c:f>
              <c:numCache>
                <c:formatCode>0%</c:formatCode>
                <c:ptCount val="10"/>
                <c:pt idx="0">
                  <c:v>5.6833333333333336</c:v>
                </c:pt>
                <c:pt idx="1">
                  <c:v>7.9249999999999998</c:v>
                </c:pt>
                <c:pt idx="9">
                  <c:v>6.0916666666666668</c:v>
                </c:pt>
              </c:numCache>
            </c:numRef>
          </c:val>
          <c:extLst>
            <c:ext xmlns:c16="http://schemas.microsoft.com/office/drawing/2014/chart" uri="{C3380CC4-5D6E-409C-BE32-E72D297353CC}">
              <c16:uniqueId val="{00000001-208D-F04E-B75A-653FF5F60792}"/>
            </c:ext>
          </c:extLst>
        </c:ser>
        <c:ser>
          <c:idx val="2"/>
          <c:order val="2"/>
          <c:tx>
            <c:strRef>
              <c:f>DASHBOARD!$D$3:$D$5</c:f>
              <c:strCache>
                <c:ptCount val="1"/>
                <c:pt idx="0">
                  <c:v>Sum of Occupancy % - 150</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DASHBOARD!$D$6:$D$21</c:f>
              <c:numCache>
                <c:formatCode>0%</c:formatCode>
                <c:ptCount val="10"/>
                <c:pt idx="3">
                  <c:v>6.78</c:v>
                </c:pt>
                <c:pt idx="4">
                  <c:v>4.3</c:v>
                </c:pt>
                <c:pt idx="5">
                  <c:v>6.2266666666666666</c:v>
                </c:pt>
                <c:pt idx="6">
                  <c:v>5.52</c:v>
                </c:pt>
              </c:numCache>
            </c:numRef>
          </c:val>
          <c:extLst>
            <c:ext xmlns:c16="http://schemas.microsoft.com/office/drawing/2014/chart" uri="{C3380CC4-5D6E-409C-BE32-E72D297353CC}">
              <c16:uniqueId val="{00000002-208D-F04E-B75A-653FF5F60792}"/>
            </c:ext>
          </c:extLst>
        </c:ser>
        <c:ser>
          <c:idx val="3"/>
          <c:order val="3"/>
          <c:tx>
            <c:strRef>
              <c:f>DASHBOARD!$E$3:$E$5</c:f>
              <c:strCache>
                <c:ptCount val="1"/>
                <c:pt idx="0">
                  <c:v>Sum of Occupancy % - 250</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DASHBOARD!$E$6:$E$21</c:f>
              <c:numCache>
                <c:formatCode>0%</c:formatCode>
                <c:ptCount val="10"/>
                <c:pt idx="2">
                  <c:v>6.6479999999999997</c:v>
                </c:pt>
              </c:numCache>
            </c:numRef>
          </c:val>
          <c:extLst>
            <c:ext xmlns:c16="http://schemas.microsoft.com/office/drawing/2014/chart" uri="{C3380CC4-5D6E-409C-BE32-E72D297353CC}">
              <c16:uniqueId val="{00000003-208D-F04E-B75A-653FF5F60792}"/>
            </c:ext>
          </c:extLst>
        </c:ser>
        <c:ser>
          <c:idx val="4"/>
          <c:order val="4"/>
          <c:tx>
            <c:strRef>
              <c:f>DASHBOARD!$F$3:$F$5</c:f>
              <c:strCache>
                <c:ptCount val="1"/>
                <c:pt idx="0">
                  <c:v>Sum of Admissions - 100</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DASHBOARD!$F$6:$F$21</c:f>
              <c:numCache>
                <c:formatCode>General</c:formatCode>
                <c:ptCount val="10"/>
                <c:pt idx="7">
                  <c:v>865</c:v>
                </c:pt>
                <c:pt idx="8">
                  <c:v>560</c:v>
                </c:pt>
              </c:numCache>
            </c:numRef>
          </c:val>
          <c:extLst>
            <c:ext xmlns:c16="http://schemas.microsoft.com/office/drawing/2014/chart" uri="{C3380CC4-5D6E-409C-BE32-E72D297353CC}">
              <c16:uniqueId val="{00000004-208D-F04E-B75A-653FF5F60792}"/>
            </c:ext>
          </c:extLst>
        </c:ser>
        <c:ser>
          <c:idx val="5"/>
          <c:order val="5"/>
          <c:tx>
            <c:strRef>
              <c:f>DASHBOARD!$G$3:$G$5</c:f>
              <c:strCache>
                <c:ptCount val="1"/>
                <c:pt idx="0">
                  <c:v>Sum of Admissions - 120</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DASHBOARD!$G$6:$G$21</c:f>
              <c:numCache>
                <c:formatCode>General</c:formatCode>
                <c:ptCount val="10"/>
                <c:pt idx="0">
                  <c:v>682</c:v>
                </c:pt>
                <c:pt idx="1">
                  <c:v>951</c:v>
                </c:pt>
                <c:pt idx="9">
                  <c:v>731</c:v>
                </c:pt>
              </c:numCache>
            </c:numRef>
          </c:val>
          <c:extLst>
            <c:ext xmlns:c16="http://schemas.microsoft.com/office/drawing/2014/chart" uri="{C3380CC4-5D6E-409C-BE32-E72D297353CC}">
              <c16:uniqueId val="{00000005-208D-F04E-B75A-653FF5F60792}"/>
            </c:ext>
          </c:extLst>
        </c:ser>
        <c:ser>
          <c:idx val="6"/>
          <c:order val="6"/>
          <c:tx>
            <c:strRef>
              <c:f>DASHBOARD!$H$3:$H$5</c:f>
              <c:strCache>
                <c:ptCount val="1"/>
                <c:pt idx="0">
                  <c:v>Sum of Admissions - 150</c:v>
                </c:pt>
              </c:strCache>
            </c:strRef>
          </c:tx>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DASHBOARD!$H$6:$H$21</c:f>
              <c:numCache>
                <c:formatCode>General</c:formatCode>
                <c:ptCount val="10"/>
                <c:pt idx="3">
                  <c:v>1017</c:v>
                </c:pt>
                <c:pt idx="4">
                  <c:v>645</c:v>
                </c:pt>
                <c:pt idx="5">
                  <c:v>934</c:v>
                </c:pt>
                <c:pt idx="6">
                  <c:v>828</c:v>
                </c:pt>
              </c:numCache>
            </c:numRef>
          </c:val>
          <c:extLst>
            <c:ext xmlns:c16="http://schemas.microsoft.com/office/drawing/2014/chart" uri="{C3380CC4-5D6E-409C-BE32-E72D297353CC}">
              <c16:uniqueId val="{00000006-208D-F04E-B75A-653FF5F60792}"/>
            </c:ext>
          </c:extLst>
        </c:ser>
        <c:ser>
          <c:idx val="7"/>
          <c:order val="7"/>
          <c:tx>
            <c:strRef>
              <c:f>DASHBOARD!$I$3:$I$5</c:f>
              <c:strCache>
                <c:ptCount val="1"/>
                <c:pt idx="0">
                  <c:v>Sum of Admissions - 250</c:v>
                </c:pt>
              </c:strCache>
            </c:strRef>
          </c:tx>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DASHBOARD!$I$6:$I$21</c:f>
              <c:numCache>
                <c:formatCode>General</c:formatCode>
                <c:ptCount val="10"/>
                <c:pt idx="2">
                  <c:v>1662</c:v>
                </c:pt>
              </c:numCache>
            </c:numRef>
          </c:val>
          <c:extLst>
            <c:ext xmlns:c16="http://schemas.microsoft.com/office/drawing/2014/chart" uri="{C3380CC4-5D6E-409C-BE32-E72D297353CC}">
              <c16:uniqueId val="{00000007-208D-F04E-B75A-653FF5F60792}"/>
            </c:ext>
          </c:extLst>
        </c:ser>
        <c:ser>
          <c:idx val="8"/>
          <c:order val="8"/>
          <c:tx>
            <c:strRef>
              <c:f>DASHBOARD!$J$3:$J$5</c:f>
              <c:strCache>
                <c:ptCount val="1"/>
                <c:pt idx="0">
                  <c:v>Sum of Box Office - 100</c:v>
                </c:pt>
              </c:strCache>
            </c:strRef>
          </c:tx>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DASHBOARD!$J$6:$J$21</c:f>
              <c:numCache>
                <c:formatCode>#,##0</c:formatCode>
                <c:ptCount val="10"/>
                <c:pt idx="7">
                  <c:v>80650000</c:v>
                </c:pt>
                <c:pt idx="8">
                  <c:v>52540000</c:v>
                </c:pt>
              </c:numCache>
            </c:numRef>
          </c:val>
          <c:extLst>
            <c:ext xmlns:c16="http://schemas.microsoft.com/office/drawing/2014/chart" uri="{C3380CC4-5D6E-409C-BE32-E72D297353CC}">
              <c16:uniqueId val="{00000009-208D-F04E-B75A-653FF5F60792}"/>
            </c:ext>
          </c:extLst>
        </c:ser>
        <c:ser>
          <c:idx val="9"/>
          <c:order val="9"/>
          <c:tx>
            <c:strRef>
              <c:f>DASHBOARD!$K$3:$K$5</c:f>
              <c:strCache>
                <c:ptCount val="1"/>
                <c:pt idx="0">
                  <c:v>Sum of Box Office - 120</c:v>
                </c:pt>
              </c:strCache>
            </c:strRef>
          </c:tx>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DASHBOARD!$K$6:$K$21</c:f>
              <c:numCache>
                <c:formatCode>#,##0</c:formatCode>
                <c:ptCount val="10"/>
                <c:pt idx="0">
                  <c:v>56850000</c:v>
                </c:pt>
                <c:pt idx="1">
                  <c:v>99525000</c:v>
                </c:pt>
                <c:pt idx="9">
                  <c:v>74880000</c:v>
                </c:pt>
              </c:numCache>
            </c:numRef>
          </c:val>
          <c:extLst>
            <c:ext xmlns:c16="http://schemas.microsoft.com/office/drawing/2014/chart" uri="{C3380CC4-5D6E-409C-BE32-E72D297353CC}">
              <c16:uniqueId val="{0000000A-208D-F04E-B75A-653FF5F60792}"/>
            </c:ext>
          </c:extLst>
        </c:ser>
        <c:ser>
          <c:idx val="10"/>
          <c:order val="10"/>
          <c:tx>
            <c:strRef>
              <c:f>DASHBOARD!$L$3:$L$5</c:f>
              <c:strCache>
                <c:ptCount val="1"/>
                <c:pt idx="0">
                  <c:v>Sum of Box Office - 150</c:v>
                </c:pt>
              </c:strCache>
            </c:strRef>
          </c:tx>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DASHBOARD!$L$6:$L$21</c:f>
              <c:numCache>
                <c:formatCode>#,##0</c:formatCode>
                <c:ptCount val="10"/>
                <c:pt idx="3">
                  <c:v>101425000</c:v>
                </c:pt>
                <c:pt idx="4">
                  <c:v>59430000</c:v>
                </c:pt>
                <c:pt idx="5">
                  <c:v>82500000</c:v>
                </c:pt>
                <c:pt idx="6">
                  <c:v>76660000</c:v>
                </c:pt>
              </c:numCache>
            </c:numRef>
          </c:val>
          <c:extLst>
            <c:ext xmlns:c16="http://schemas.microsoft.com/office/drawing/2014/chart" uri="{C3380CC4-5D6E-409C-BE32-E72D297353CC}">
              <c16:uniqueId val="{0000000B-208D-F04E-B75A-653FF5F60792}"/>
            </c:ext>
          </c:extLst>
        </c:ser>
        <c:ser>
          <c:idx val="11"/>
          <c:order val="11"/>
          <c:tx>
            <c:strRef>
              <c:f>DASHBOARD!$M$3:$M$5</c:f>
              <c:strCache>
                <c:ptCount val="1"/>
                <c:pt idx="0">
                  <c:v>Sum of Box Office - 250</c:v>
                </c:pt>
              </c:strCache>
            </c:strRef>
          </c:tx>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multiLvlStrRef>
              <c:f>DASHBOARD!$A$6:$A$21</c:f>
              <c:multiLvlStrCache>
                <c:ptCount val="10"/>
                <c:lvl>
                  <c:pt idx="0">
                    <c:v>Dune: Part Two</c:v>
                  </c:pt>
                  <c:pt idx="1">
                    <c:v>Mai</c:v>
                  </c:pt>
                  <c:pt idx="2">
                    <c:v>Dune: Part Two</c:v>
                  </c:pt>
                  <c:pt idx="3">
                    <c:v>Godzilla x Kong</c:v>
                  </c:pt>
                  <c:pt idx="4">
                    <c:v>Kungfu Panda 4</c:v>
                  </c:pt>
                  <c:pt idx="5">
                    <c:v>Mai</c:v>
                  </c:pt>
                  <c:pt idx="6">
                    <c:v>Gặp Lại Chị Bầu</c:v>
                  </c:pt>
                  <c:pt idx="7">
                    <c:v>Kungfu Panda 4</c:v>
                  </c:pt>
                  <c:pt idx="8">
                    <c:v>Mai</c:v>
                  </c:pt>
                  <c:pt idx="9">
                    <c:v>Đào, Phở và Piano</c:v>
                  </c:pt>
                </c:lvl>
                <c:lvl>
                  <c:pt idx="0">
                    <c:v>Beta Bình Thạnh</c:v>
                  </c:pt>
                  <c:pt idx="2">
                    <c:v>Beta Quang Trung</c:v>
                  </c:pt>
                  <c:pt idx="6">
                    <c:v>Beta Tân Uyên</c:v>
                  </c:pt>
                  <c:pt idx="7">
                    <c:v>Beta Thái Nguyên</c:v>
                  </c:pt>
                  <c:pt idx="9">
                    <c:v>Beta Ung Văn Khiêm</c:v>
                  </c:pt>
                </c:lvl>
              </c:multiLvlStrCache>
            </c:multiLvlStrRef>
          </c:cat>
          <c:val>
            <c:numRef>
              <c:f>DASHBOARD!$M$6:$M$21</c:f>
              <c:numCache>
                <c:formatCode>#,##0</c:formatCode>
                <c:ptCount val="10"/>
                <c:pt idx="2">
                  <c:v>142125000</c:v>
                </c:pt>
              </c:numCache>
            </c:numRef>
          </c:val>
          <c:extLst>
            <c:ext xmlns:c16="http://schemas.microsoft.com/office/drawing/2014/chart" uri="{C3380CC4-5D6E-409C-BE32-E72D297353CC}">
              <c16:uniqueId val="{0000000C-208D-F04E-B75A-653FF5F60792}"/>
            </c:ext>
          </c:extLst>
        </c:ser>
        <c:dLbls>
          <c:dLblPos val="inEnd"/>
          <c:showLegendKey val="0"/>
          <c:showVal val="1"/>
          <c:showCatName val="0"/>
          <c:showSerName val="0"/>
          <c:showPercent val="0"/>
          <c:showBubbleSize val="0"/>
        </c:dLbls>
        <c:gapWidth val="100"/>
        <c:axId val="1473713856"/>
        <c:axId val="1473708480"/>
      </c:barChart>
      <c:catAx>
        <c:axId val="1473713856"/>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crossAx val="1473708480"/>
        <c:crosses val="autoZero"/>
        <c:auto val="1"/>
        <c:lblAlgn val="ctr"/>
        <c:lblOffset val="100"/>
        <c:noMultiLvlLbl val="0"/>
      </c:catAx>
      <c:valAx>
        <c:axId val="1473708480"/>
        <c:scaling>
          <c:orientation val="minMax"/>
        </c:scaling>
        <c:delete val="0"/>
        <c:axPos val="b"/>
        <c:majorGridlines>
          <c:spPr>
            <a:ln w="9525" cap="flat" cmpd="sng" algn="ctr">
              <a:solidFill>
                <a:schemeClr val="tx2">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crossAx val="147371385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6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sz="1600" baseline="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0</xdr:colOff>
      <xdr:row>3</xdr:row>
      <xdr:rowOff>0</xdr:rowOff>
    </xdr:from>
    <xdr:to>
      <xdr:col>11</xdr:col>
      <xdr:colOff>215900</xdr:colOff>
      <xdr:row>6</xdr:row>
      <xdr:rowOff>76200</xdr:rowOff>
    </xdr:to>
    <xdr:sp macro="[0]!dashboard3" textlink="">
      <xdr:nvSpPr>
        <xdr:cNvPr id="3" name="Alternative Process 2">
          <a:extLst>
            <a:ext uri="{FF2B5EF4-FFF2-40B4-BE49-F238E27FC236}">
              <a16:creationId xmlns:a16="http://schemas.microsoft.com/office/drawing/2014/main" id="{F50DFF7A-155E-F64B-91D5-718069D247DD}"/>
            </a:ext>
          </a:extLst>
        </xdr:cNvPr>
        <xdr:cNvSpPr/>
      </xdr:nvSpPr>
      <xdr:spPr>
        <a:xfrm>
          <a:off x="13855700" y="952500"/>
          <a:ext cx="3517900" cy="1028700"/>
        </a:xfrm>
        <a:prstGeom prst="flowChartAlternateProcess">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4000" b="1">
              <a:latin typeface="Al Nile" pitchFamily="2" charset="-78"/>
              <a:cs typeface="Al Nile" pitchFamily="2" charset="-78"/>
            </a:rPr>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762000</xdr:colOff>
      <xdr:row>1</xdr:row>
      <xdr:rowOff>279400</xdr:rowOff>
    </xdr:from>
    <xdr:to>
      <xdr:col>9</xdr:col>
      <xdr:colOff>152400</xdr:colOff>
      <xdr:row>5</xdr:row>
      <xdr:rowOff>38100</xdr:rowOff>
    </xdr:to>
    <xdr:sp macro="[0]!dashboard2" textlink="">
      <xdr:nvSpPr>
        <xdr:cNvPr id="3" name="Alternative Process 2">
          <a:extLst>
            <a:ext uri="{FF2B5EF4-FFF2-40B4-BE49-F238E27FC236}">
              <a16:creationId xmlns:a16="http://schemas.microsoft.com/office/drawing/2014/main" id="{A2ADBA10-662F-364E-AFD7-08A556BB55E9}"/>
            </a:ext>
          </a:extLst>
        </xdr:cNvPr>
        <xdr:cNvSpPr/>
      </xdr:nvSpPr>
      <xdr:spPr>
        <a:xfrm>
          <a:off x="14147800" y="596900"/>
          <a:ext cx="3517900" cy="1028700"/>
        </a:xfrm>
        <a:prstGeom prst="flowChartAlternateProcess">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4000" b="1">
              <a:latin typeface="Al Nile" pitchFamily="2" charset="-78"/>
              <a:cs typeface="Al Nile" pitchFamily="2" charset="-78"/>
            </a:rPr>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337167</xdr:colOff>
      <xdr:row>4</xdr:row>
      <xdr:rowOff>224778</xdr:rowOff>
    </xdr:from>
    <xdr:to>
      <xdr:col>14</xdr:col>
      <xdr:colOff>90023</xdr:colOff>
      <xdr:row>7</xdr:row>
      <xdr:rowOff>152063</xdr:rowOff>
    </xdr:to>
    <xdr:sp macro="[0]!dashboard" textlink="">
      <xdr:nvSpPr>
        <xdr:cNvPr id="6" name="Alternative Process 5">
          <a:extLst>
            <a:ext uri="{FF2B5EF4-FFF2-40B4-BE49-F238E27FC236}">
              <a16:creationId xmlns:a16="http://schemas.microsoft.com/office/drawing/2014/main" id="{AAB79DD4-574C-5644-A8B7-462ADBD47C1A}"/>
            </a:ext>
          </a:extLst>
        </xdr:cNvPr>
        <xdr:cNvSpPr/>
      </xdr:nvSpPr>
      <xdr:spPr>
        <a:xfrm>
          <a:off x="13408052" y="1135132"/>
          <a:ext cx="3855068" cy="601621"/>
        </a:xfrm>
        <a:prstGeom prst="flowChartAlternateProcess">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4000" b="1">
              <a:latin typeface="Al Nile" pitchFamily="2" charset="-78"/>
              <a:cs typeface="Al Nile" pitchFamily="2" charset="-78"/>
            </a:rPr>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471506</xdr:colOff>
      <xdr:row>24</xdr:row>
      <xdr:rowOff>0</xdr:rowOff>
    </xdr:from>
    <xdr:to>
      <xdr:col>5</xdr:col>
      <xdr:colOff>748485</xdr:colOff>
      <xdr:row>36</xdr:row>
      <xdr:rowOff>180972</xdr:rowOff>
    </xdr:to>
    <mc:AlternateContent xmlns:mc="http://schemas.openxmlformats.org/markup-compatibility/2006" xmlns:a14="http://schemas.microsoft.com/office/drawing/2010/main">
      <mc:Choice Requires="a14">
        <xdr:graphicFrame macro="">
          <xdr:nvGraphicFramePr>
            <xdr:cNvPr id="2" name="Movie Name 1">
              <a:extLst>
                <a:ext uri="{FF2B5EF4-FFF2-40B4-BE49-F238E27FC236}">
                  <a16:creationId xmlns:a16="http://schemas.microsoft.com/office/drawing/2014/main" id="{5059526D-FA7E-B757-0305-28893A1FB090}"/>
                </a:ext>
              </a:extLst>
            </xdr:cNvPr>
            <xdr:cNvGraphicFramePr/>
          </xdr:nvGraphicFramePr>
          <xdr:xfrm>
            <a:off x="0" y="0"/>
            <a:ext cx="0" cy="0"/>
          </xdr:xfrm>
          <a:graphic>
            <a:graphicData uri="http://schemas.microsoft.com/office/drawing/2010/slicer">
              <sle:slicer xmlns:sle="http://schemas.microsoft.com/office/drawing/2010/slicer" name="Movie Name 1"/>
            </a:graphicData>
          </a:graphic>
        </xdr:graphicFrame>
      </mc:Choice>
      <mc:Fallback xmlns="">
        <xdr:sp macro="" textlink="">
          <xdr:nvSpPr>
            <xdr:cNvPr id="0" name=""/>
            <xdr:cNvSpPr>
              <a:spLocks noTextEdit="1"/>
            </xdr:cNvSpPr>
          </xdr:nvSpPr>
          <xdr:spPr>
            <a:xfrm>
              <a:off x="5221306" y="7772400"/>
              <a:ext cx="1826379"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853090</xdr:colOff>
      <xdr:row>24</xdr:row>
      <xdr:rowOff>14598</xdr:rowOff>
    </xdr:from>
    <xdr:to>
      <xdr:col>2</xdr:col>
      <xdr:colOff>761381</xdr:colOff>
      <xdr:row>36</xdr:row>
      <xdr:rowOff>195570</xdr:rowOff>
    </xdr:to>
    <mc:AlternateContent xmlns:mc="http://schemas.openxmlformats.org/markup-compatibility/2006" xmlns:a14="http://schemas.microsoft.com/office/drawing/2010/main">
      <mc:Choice Requires="a14">
        <xdr:graphicFrame macro="">
          <xdr:nvGraphicFramePr>
            <xdr:cNvPr id="3" name="Theater">
              <a:extLst>
                <a:ext uri="{FF2B5EF4-FFF2-40B4-BE49-F238E27FC236}">
                  <a16:creationId xmlns:a16="http://schemas.microsoft.com/office/drawing/2014/main" id="{DE906C5B-84A3-4364-79EB-E41C5AC0DCA6}"/>
                </a:ext>
              </a:extLst>
            </xdr:cNvPr>
            <xdr:cNvGraphicFramePr/>
          </xdr:nvGraphicFramePr>
          <xdr:xfrm>
            <a:off x="0" y="0"/>
            <a:ext cx="0" cy="0"/>
          </xdr:xfrm>
          <a:graphic>
            <a:graphicData uri="http://schemas.microsoft.com/office/drawing/2010/slicer">
              <sle:slicer xmlns:sle="http://schemas.microsoft.com/office/drawing/2010/slicer" name="Theater"/>
            </a:graphicData>
          </a:graphic>
        </xdr:graphicFrame>
      </mc:Choice>
      <mc:Fallback xmlns="">
        <xdr:sp macro="" textlink="">
          <xdr:nvSpPr>
            <xdr:cNvPr id="0" name=""/>
            <xdr:cNvSpPr>
              <a:spLocks noTextEdit="1"/>
            </xdr:cNvSpPr>
          </xdr:nvSpPr>
          <xdr:spPr>
            <a:xfrm>
              <a:off x="2834290" y="7786998"/>
              <a:ext cx="1838691" cy="261937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596900</xdr:colOff>
      <xdr:row>24</xdr:row>
      <xdr:rowOff>12700</xdr:rowOff>
    </xdr:from>
    <xdr:to>
      <xdr:col>1</xdr:col>
      <xdr:colOff>449729</xdr:colOff>
      <xdr:row>37</xdr:row>
      <xdr:rowOff>1248</xdr:rowOff>
    </xdr:to>
    <mc:AlternateContent xmlns:mc="http://schemas.openxmlformats.org/markup-compatibility/2006" xmlns:a14="http://schemas.microsoft.com/office/drawing/2010/main">
      <mc:Choice Requires="a14">
        <xdr:graphicFrame macro="">
          <xdr:nvGraphicFramePr>
            <xdr:cNvPr id="4" name="Total Seats">
              <a:extLst>
                <a:ext uri="{FF2B5EF4-FFF2-40B4-BE49-F238E27FC236}">
                  <a16:creationId xmlns:a16="http://schemas.microsoft.com/office/drawing/2014/main" id="{EF424D64-7D78-703D-09F4-DD9CFF84FF55}"/>
                </a:ext>
              </a:extLst>
            </xdr:cNvPr>
            <xdr:cNvGraphicFramePr/>
          </xdr:nvGraphicFramePr>
          <xdr:xfrm>
            <a:off x="0" y="0"/>
            <a:ext cx="0" cy="0"/>
          </xdr:xfrm>
          <a:graphic>
            <a:graphicData uri="http://schemas.microsoft.com/office/drawing/2010/slicer">
              <sle:slicer xmlns:sle="http://schemas.microsoft.com/office/drawing/2010/slicer" name="Total Seats"/>
            </a:graphicData>
          </a:graphic>
        </xdr:graphicFrame>
      </mc:Choice>
      <mc:Fallback xmlns="">
        <xdr:sp macro="" textlink="">
          <xdr:nvSpPr>
            <xdr:cNvPr id="0" name=""/>
            <xdr:cNvSpPr>
              <a:spLocks noTextEdit="1"/>
            </xdr:cNvSpPr>
          </xdr:nvSpPr>
          <xdr:spPr>
            <a:xfrm>
              <a:off x="596900" y="7785100"/>
              <a:ext cx="1834029" cy="263014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29195</xdr:colOff>
      <xdr:row>24</xdr:row>
      <xdr:rowOff>114299</xdr:rowOff>
    </xdr:from>
    <xdr:to>
      <xdr:col>25</xdr:col>
      <xdr:colOff>277356</xdr:colOff>
      <xdr:row>52</xdr:row>
      <xdr:rowOff>189770</xdr:rowOff>
    </xdr:to>
    <xdr:graphicFrame macro="">
      <xdr:nvGraphicFramePr>
        <xdr:cNvPr id="6" name="Chart 5">
          <a:extLst>
            <a:ext uri="{FF2B5EF4-FFF2-40B4-BE49-F238E27FC236}">
              <a16:creationId xmlns:a16="http://schemas.microsoft.com/office/drawing/2014/main" id="{C80EAA13-C6DE-01C2-E93B-5C6202EE97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50800</xdr:colOff>
      <xdr:row>2</xdr:row>
      <xdr:rowOff>12700</xdr:rowOff>
    </xdr:from>
    <xdr:to>
      <xdr:col>33</xdr:col>
      <xdr:colOff>152400</xdr:colOff>
      <xdr:row>6</xdr:row>
      <xdr:rowOff>12700</xdr:rowOff>
    </xdr:to>
    <xdr:sp macro="[0]!SALES" textlink="">
      <xdr:nvSpPr>
        <xdr:cNvPr id="7" name="Pentagon 6">
          <a:extLst>
            <a:ext uri="{FF2B5EF4-FFF2-40B4-BE49-F238E27FC236}">
              <a16:creationId xmlns:a16="http://schemas.microsoft.com/office/drawing/2014/main" id="{655CC3C1-4D06-1FC5-C955-E29BF1180B18}"/>
            </a:ext>
          </a:extLst>
        </xdr:cNvPr>
        <xdr:cNvSpPr/>
      </xdr:nvSpPr>
      <xdr:spPr>
        <a:xfrm>
          <a:off x="22580600" y="419100"/>
          <a:ext cx="5054600" cy="1117600"/>
        </a:xfrm>
        <a:prstGeom prst="homePlate">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5400" b="1" cap="none" spc="0">
              <a:ln w="0"/>
              <a:solidFill>
                <a:schemeClr val="bg1"/>
              </a:solidFill>
              <a:effectLst>
                <a:outerShdw blurRad="38100" dist="19050" dir="2700000" algn="tl" rotWithShape="0">
                  <a:schemeClr val="dk1">
                    <a:alpha val="40000"/>
                  </a:schemeClr>
                </a:outerShdw>
              </a:effectLst>
              <a:latin typeface="Cambria" panose="02040503050406030204" pitchFamily="18" charset="0"/>
            </a:rPr>
            <a:t>SALES</a:t>
          </a:r>
          <a:endParaRPr lang="en-GB" sz="5400" b="1" cap="none" spc="0">
            <a:ln w="10160">
              <a:solidFill>
                <a:schemeClr val="accent5"/>
              </a:solidFill>
              <a:prstDash val="solid"/>
            </a:ln>
            <a:solidFill>
              <a:schemeClr val="bg1"/>
            </a:solidFill>
            <a:effectLst>
              <a:outerShdw blurRad="38100" dist="22860" dir="5400000" algn="tl" rotWithShape="0">
                <a:srgbClr val="000000">
                  <a:alpha val="30000"/>
                </a:srgbClr>
              </a:outerShdw>
            </a:effectLst>
            <a:latin typeface="Cambria" panose="02040503050406030204" pitchFamily="18" charset="0"/>
          </a:endParaRPr>
        </a:p>
      </xdr:txBody>
    </xdr:sp>
    <xdr:clientData/>
  </xdr:twoCellAnchor>
  <xdr:twoCellAnchor>
    <xdr:from>
      <xdr:col>18</xdr:col>
      <xdr:colOff>76200</xdr:colOff>
      <xdr:row>8</xdr:row>
      <xdr:rowOff>12700</xdr:rowOff>
    </xdr:from>
    <xdr:to>
      <xdr:col>33</xdr:col>
      <xdr:colOff>127000</xdr:colOff>
      <xdr:row>12</xdr:row>
      <xdr:rowOff>12700</xdr:rowOff>
    </xdr:to>
    <xdr:sp macro="[0]!partners" textlink="">
      <xdr:nvSpPr>
        <xdr:cNvPr id="8" name="Pentagon 7">
          <a:extLst>
            <a:ext uri="{FF2B5EF4-FFF2-40B4-BE49-F238E27FC236}">
              <a16:creationId xmlns:a16="http://schemas.microsoft.com/office/drawing/2014/main" id="{1406C596-40E0-2F42-B309-BF77EC25C217}"/>
            </a:ext>
          </a:extLst>
        </xdr:cNvPr>
        <xdr:cNvSpPr/>
      </xdr:nvSpPr>
      <xdr:spPr>
        <a:xfrm>
          <a:off x="22606000" y="2095500"/>
          <a:ext cx="5003800" cy="1117600"/>
        </a:xfrm>
        <a:prstGeom prst="homePlate">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4000" b="1">
              <a:latin typeface="Cambria" panose="02040503050406030204" pitchFamily="18" charset="0"/>
            </a:rPr>
            <a:t>PARTNERS</a:t>
          </a:r>
        </a:p>
      </xdr:txBody>
    </xdr:sp>
    <xdr:clientData/>
  </xdr:twoCellAnchor>
  <xdr:twoCellAnchor>
    <xdr:from>
      <xdr:col>18</xdr:col>
      <xdr:colOff>76200</xdr:colOff>
      <xdr:row>14</xdr:row>
      <xdr:rowOff>12700</xdr:rowOff>
    </xdr:from>
    <xdr:to>
      <xdr:col>33</xdr:col>
      <xdr:colOff>177800</xdr:colOff>
      <xdr:row>18</xdr:row>
      <xdr:rowOff>38100</xdr:rowOff>
    </xdr:to>
    <xdr:sp macro="[0]!showtimes_master" textlink="">
      <xdr:nvSpPr>
        <xdr:cNvPr id="9" name="Pentagon 8">
          <a:extLst>
            <a:ext uri="{FF2B5EF4-FFF2-40B4-BE49-F238E27FC236}">
              <a16:creationId xmlns:a16="http://schemas.microsoft.com/office/drawing/2014/main" id="{14BCF403-13B7-034A-8A1D-1B59C960E424}"/>
            </a:ext>
          </a:extLst>
        </xdr:cNvPr>
        <xdr:cNvSpPr/>
      </xdr:nvSpPr>
      <xdr:spPr>
        <a:xfrm>
          <a:off x="22606000" y="3771900"/>
          <a:ext cx="5054600" cy="1143000"/>
        </a:xfrm>
        <a:prstGeom prst="homePlate">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3200" b="1">
              <a:latin typeface="Cambria" panose="02040503050406030204" pitchFamily="18" charset="0"/>
            </a:rPr>
            <a:t>SHOWTIMES_MASTER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11</xdr:col>
      <xdr:colOff>12700</xdr:colOff>
      <xdr:row>2</xdr:row>
      <xdr:rowOff>279400</xdr:rowOff>
    </xdr:from>
    <xdr:to>
      <xdr:col>13</xdr:col>
      <xdr:colOff>457200</xdr:colOff>
      <xdr:row>8</xdr:row>
      <xdr:rowOff>38100</xdr:rowOff>
    </xdr:to>
    <xdr:sp macro="[0]!searchdata" textlink="">
      <xdr:nvSpPr>
        <xdr:cNvPr id="3" name="Alternative Process 2">
          <a:extLst>
            <a:ext uri="{FF2B5EF4-FFF2-40B4-BE49-F238E27FC236}">
              <a16:creationId xmlns:a16="http://schemas.microsoft.com/office/drawing/2014/main" id="{1FCFF593-27DA-492E-ED7D-0ED675B5203F}"/>
            </a:ext>
          </a:extLst>
        </xdr:cNvPr>
        <xdr:cNvSpPr/>
      </xdr:nvSpPr>
      <xdr:spPr>
        <a:xfrm>
          <a:off x="15887700" y="800100"/>
          <a:ext cx="2095500" cy="1066800"/>
        </a:xfrm>
        <a:prstGeom prst="flowChartAlternateProcess">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3600" b="1">
              <a:latin typeface="Aptos Mono" panose="020B0009020202020204" pitchFamily="49" charset="0"/>
              <a:cs typeface="Arial" panose="020B0604020202020204" pitchFamily="34" charset="0"/>
            </a:rPr>
            <a:t>SEARCH</a:t>
          </a:r>
        </a:p>
      </xdr:txBody>
    </xdr:sp>
    <xdr:clientData/>
  </xdr:twoCellAnchor>
  <xdr:twoCellAnchor>
    <xdr:from>
      <xdr:col>11</xdr:col>
      <xdr:colOff>12700</xdr:colOff>
      <xdr:row>8</xdr:row>
      <xdr:rowOff>190500</xdr:rowOff>
    </xdr:from>
    <xdr:to>
      <xdr:col>13</xdr:col>
      <xdr:colOff>520700</xdr:colOff>
      <xdr:row>14</xdr:row>
      <xdr:rowOff>165100</xdr:rowOff>
    </xdr:to>
    <xdr:sp macro="[0]!cleandata" textlink="">
      <xdr:nvSpPr>
        <xdr:cNvPr id="4" name="Alternative Process 3">
          <a:extLst>
            <a:ext uri="{FF2B5EF4-FFF2-40B4-BE49-F238E27FC236}">
              <a16:creationId xmlns:a16="http://schemas.microsoft.com/office/drawing/2014/main" id="{E545F11A-0624-944C-8327-E766119FD354}"/>
            </a:ext>
          </a:extLst>
        </xdr:cNvPr>
        <xdr:cNvSpPr/>
      </xdr:nvSpPr>
      <xdr:spPr>
        <a:xfrm>
          <a:off x="15887700" y="2019300"/>
          <a:ext cx="2159000" cy="1333500"/>
        </a:xfrm>
        <a:prstGeom prst="flowChartAlternateProcess">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GB" sz="4000" b="1"/>
            <a:t>CLEAR</a:t>
          </a:r>
        </a:p>
      </xdr:txBody>
    </xdr:sp>
    <xdr:clientData/>
  </xdr:twoCellAnchor>
  <xdr:twoCellAnchor editAs="oneCell">
    <xdr:from>
      <xdr:col>0</xdr:col>
      <xdr:colOff>0</xdr:colOff>
      <xdr:row>10</xdr:row>
      <xdr:rowOff>177800</xdr:rowOff>
    </xdr:from>
    <xdr:to>
      <xdr:col>1</xdr:col>
      <xdr:colOff>88900</xdr:colOff>
      <xdr:row>14</xdr:row>
      <xdr:rowOff>139700</xdr:rowOff>
    </xdr:to>
    <xdr:pic>
      <xdr:nvPicPr>
        <xdr:cNvPr id="8" name="Graphic 7" descr="Back with solid fill">
          <a:extLst>
            <a:ext uri="{FF2B5EF4-FFF2-40B4-BE49-F238E27FC236}">
              <a16:creationId xmlns:a16="http://schemas.microsoft.com/office/drawing/2014/main" id="{2AF0F158-0040-54D1-F004-43D2D26AA5F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0" y="2413000"/>
          <a:ext cx="914400" cy="91440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uyen" refreshedDate="46078.566011111114" createdVersion="8" refreshedVersion="8" minRefreshableVersion="3" recordCount="90" xr:uid="{281702E8-61BD-434B-B3B7-2AE8541FF58E}">
  <cacheSource type="worksheet">
    <worksheetSource ref="B1:I91" sheet="SALES"/>
  </cacheSource>
  <cacheFields count="9">
    <cacheField name="Date" numFmtId="14">
      <sharedItems containsSemiMixedTypes="0" containsNonDate="0" containsDate="1" containsString="0" minDate="2025-12-01T00:00:00" maxDate="2026-03-01T00:00:00" count="90">
        <d v="2025-12-01T00:00:00"/>
        <d v="2025-12-02T00:00:00"/>
        <d v="2025-12-03T00:00:00"/>
        <d v="2025-12-04T00:00:00"/>
        <d v="2025-12-05T00:00:00"/>
        <d v="2025-12-06T00:00:00"/>
        <d v="2025-12-07T00:00:00"/>
        <d v="2025-12-08T00:00:00"/>
        <d v="2025-12-09T00:00:00"/>
        <d v="2025-12-10T00:00:00"/>
        <d v="2025-12-11T00:00:00"/>
        <d v="2025-12-12T00:00:00"/>
        <d v="2025-12-13T00:00:00"/>
        <d v="2025-12-14T00:00:00"/>
        <d v="2025-12-15T00:00:00"/>
        <d v="2025-12-16T00:00:00"/>
        <d v="2025-12-17T00:00:00"/>
        <d v="2025-12-18T00:00:00"/>
        <d v="2025-12-19T00:00:00"/>
        <d v="2025-12-20T00:00:00"/>
        <d v="2025-12-21T00:00:00"/>
        <d v="2025-12-22T00:00:00"/>
        <d v="2025-12-23T00:00:00"/>
        <d v="2025-12-24T00:00:00"/>
        <d v="2025-12-25T00:00:00"/>
        <d v="2025-12-26T00:00:00"/>
        <d v="2025-12-27T00:00:00"/>
        <d v="2025-12-28T00:00:00"/>
        <d v="2025-12-29T00:00:00"/>
        <d v="2025-12-30T00:00:00"/>
        <d v="2025-12-31T00:00:00"/>
        <d v="2026-01-01T00:00:00"/>
        <d v="2026-01-02T00:00:00"/>
        <d v="2026-01-03T00:00:00"/>
        <d v="2026-01-04T00:00:00"/>
        <d v="2026-01-05T00:00:00"/>
        <d v="2026-01-06T00:00:00"/>
        <d v="2026-01-07T00:00:00"/>
        <d v="2026-01-08T00:00:00"/>
        <d v="2026-01-09T00:00:00"/>
        <d v="2026-01-10T00:00:00"/>
        <d v="2026-01-11T00:00:00"/>
        <d v="2026-01-12T00:00:00"/>
        <d v="2026-01-13T00:00:00"/>
        <d v="2026-01-14T00:00:00"/>
        <d v="2026-01-15T00:00:00"/>
        <d v="2026-01-16T00:00:00"/>
        <d v="2026-01-17T00:00:00"/>
        <d v="2026-01-18T00:00:00"/>
        <d v="2026-01-19T00:00:00"/>
        <d v="2026-01-20T00:00:00"/>
        <d v="2026-01-21T00:00:00"/>
        <d v="2026-01-22T00:00:00"/>
        <d v="2026-01-23T00:00:00"/>
        <d v="2026-01-24T00:00:00"/>
        <d v="2026-01-25T00:00:00"/>
        <d v="2026-01-26T00:00:00"/>
        <d v="2026-01-27T00:00:00"/>
        <d v="2026-01-28T00:00:00"/>
        <d v="2026-01-29T00:00:00"/>
        <d v="2026-01-30T00:00:00"/>
        <d v="2026-01-31T00:00:00"/>
        <d v="2026-02-01T00:00:00"/>
        <d v="2026-02-02T00:00:00"/>
        <d v="2026-02-03T00:00:00"/>
        <d v="2026-02-04T00:00:00"/>
        <d v="2026-02-05T00:00:00"/>
        <d v="2026-02-06T00:00:00"/>
        <d v="2026-02-07T00:00:00"/>
        <d v="2026-02-08T00:00:00"/>
        <d v="2026-02-09T00:00:00"/>
        <d v="2026-02-10T00:00:00"/>
        <d v="2026-02-11T00:00:00"/>
        <d v="2026-02-12T00:00:00"/>
        <d v="2026-02-13T00:00:00"/>
        <d v="2026-02-14T00:00:00"/>
        <d v="2026-02-15T00:00:00"/>
        <d v="2026-02-16T00:00:00"/>
        <d v="2026-02-17T00:00:00"/>
        <d v="2026-02-18T00:00:00"/>
        <d v="2026-02-19T00:00:00"/>
        <d v="2026-02-20T00:00:00"/>
        <d v="2026-02-21T00:00:00"/>
        <d v="2026-02-22T00:00:00"/>
        <d v="2026-02-23T00:00:00"/>
        <d v="2026-02-24T00:00:00"/>
        <d v="2026-02-25T00:00:00"/>
        <d v="2026-02-26T00:00:00"/>
        <d v="2026-02-27T00:00:00"/>
        <d v="2026-02-28T00:00:00"/>
      </sharedItems>
    </cacheField>
    <cacheField name="Showtime_ID" numFmtId="0">
      <sharedItems/>
    </cacheField>
    <cacheField name="Movie Name" numFmtId="0">
      <sharedItems count="6">
        <s v="Kungfu Panda 4"/>
        <s v="Mai"/>
        <s v="Dune: Part Two"/>
        <s v="Đào, Phở và Piano"/>
        <s v="Gặp Lại Chị Bầu"/>
        <s v="Godzilla x Kong"/>
      </sharedItems>
    </cacheField>
    <cacheField name="Theater" numFmtId="0">
      <sharedItems count="5">
        <s v="Beta Quang Trung"/>
        <s v="Beta Bình Thạnh"/>
        <s v="Beta Thái Nguyên"/>
        <s v="Beta Ung Văn Khiêm"/>
        <s v="Beta Tân Uyên"/>
      </sharedItems>
    </cacheField>
    <cacheField name="Total Seats" numFmtId="0">
      <sharedItems containsSemiMixedTypes="0" containsString="0" containsNumber="1" containsInteger="1" minValue="100" maxValue="250" count="4">
        <n v="150"/>
        <n v="120"/>
        <n v="100"/>
        <n v="250"/>
      </sharedItems>
    </cacheField>
    <cacheField name="Admissions" numFmtId="0">
      <sharedItems containsSemiMixedTypes="0" containsString="0" containsNumber="1" containsInteger="1" minValue="50" maxValue="240" count="64">
        <n v="113"/>
        <n v="122"/>
        <n v="57"/>
        <n v="95"/>
        <n v="86"/>
        <n v="119"/>
        <n v="75"/>
        <n v="98"/>
        <n v="97"/>
        <n v="125"/>
        <n v="77"/>
        <n v="143"/>
        <n v="171"/>
        <n v="131"/>
        <n v="66"/>
        <n v="96"/>
        <n v="69"/>
        <n v="88"/>
        <n v="92"/>
        <n v="110"/>
        <n v="94"/>
        <n v="85"/>
        <n v="117"/>
        <n v="80"/>
        <n v="64"/>
        <n v="109"/>
        <n v="99"/>
        <n v="82"/>
        <n v="55"/>
        <n v="81"/>
        <n v="155"/>
        <n v="67"/>
        <n v="84"/>
        <n v="76"/>
        <n v="100"/>
        <n v="73"/>
        <n v="78"/>
        <n v="93"/>
        <n v="183"/>
        <n v="163"/>
        <n v="70"/>
        <n v="139"/>
        <n v="141"/>
        <n v="52"/>
        <n v="148"/>
        <n v="90"/>
        <n v="238"/>
        <n v="124"/>
        <n v="50"/>
        <n v="147"/>
        <n v="149"/>
        <n v="53"/>
        <n v="142"/>
        <n v="68"/>
        <n v="111"/>
        <n v="63"/>
        <n v="72"/>
        <n v="137"/>
        <n v="104"/>
        <n v="59"/>
        <n v="54"/>
        <n v="240"/>
        <n v="120"/>
        <n v="133"/>
      </sharedItems>
    </cacheField>
    <cacheField name="ATP" numFmtId="0">
      <sharedItems containsSemiMixedTypes="0" containsString="0" containsNumber="1" containsInteger="1" minValue="75000" maxValue="120000"/>
    </cacheField>
    <cacheField name="Box Office" numFmtId="3">
      <sharedItems containsSemiMixedTypes="0" containsString="0" containsNumber="1" containsInteger="1" minValue="4420000" maxValue="28560000" count="76">
        <n v="9605000"/>
        <n v="9150000"/>
        <n v="6840000"/>
        <n v="7125000"/>
        <n v="10320000"/>
        <n v="8925000"/>
        <n v="9000000"/>
        <n v="8820000"/>
        <n v="8245000"/>
        <n v="15000000"/>
        <n v="6930000"/>
        <n v="12870000"/>
        <n v="14535000"/>
        <n v="9825000"/>
        <n v="4950000"/>
        <n v="8640000"/>
        <n v="5175000"/>
        <n v="7920000"/>
        <n v="7820000"/>
        <n v="8250000"/>
        <n v="7050000"/>
        <n v="6375000"/>
        <n v="14040000"/>
        <n v="10200000"/>
        <n v="6000000"/>
        <n v="4800000"/>
        <n v="9810000"/>
        <n v="7425000"/>
        <n v="7380000"/>
        <n v="9265000"/>
        <n v="4845000"/>
        <n v="4675000"/>
        <n v="6885000"/>
        <n v="13175000"/>
        <n v="5025000"/>
        <n v="7560000"/>
        <n v="6600000"/>
        <n v="8760000"/>
        <n v="9600000"/>
        <n v="13560000"/>
        <n v="5475000"/>
        <n v="10080000"/>
        <n v="9360000"/>
        <n v="11160000"/>
        <n v="13725000"/>
        <n v="12225000"/>
        <n v="6300000"/>
        <n v="16680000"/>
        <n v="11985000"/>
        <n v="5850000"/>
        <n v="4420000"/>
        <n v="11100000"/>
        <n v="12510000"/>
        <n v="7650000"/>
        <n v="28560000"/>
        <n v="7740000"/>
        <n v="10540000"/>
        <n v="8550000"/>
        <n v="11025000"/>
        <n v="13410000"/>
        <n v="6360000"/>
        <n v="12070000"/>
        <n v="8160000"/>
        <n v="9990000"/>
        <n v="9840000"/>
        <n v="6120000"/>
        <n v="10800000"/>
        <n v="5400000"/>
        <n v="12330000"/>
        <n v="12480000"/>
        <n v="4425000"/>
        <n v="4860000"/>
        <n v="18000000"/>
        <n v="6480000"/>
        <n v="14400000"/>
        <n v="15960000"/>
      </sharedItems>
    </cacheField>
    <cacheField name="Occupancy %" numFmtId="9">
      <sharedItems containsSemiMixedTypes="0" containsString="0" containsNumber="1" minValue="0.33333333333333331" maxValue="1" count="76">
        <n v="0.7533333333333333"/>
        <n v="0.81333333333333335"/>
        <n v="0.47499999999999998"/>
        <n v="0.6333333333333333"/>
        <n v="0.86"/>
        <n v="0.9916666666666667"/>
        <n v="0.625"/>
        <n v="0.81666666666666665"/>
        <n v="0.97"/>
        <n v="0.83333333333333337"/>
        <n v="0.64166666666666672"/>
        <n v="0.95333333333333337"/>
        <n v="0.68400000000000005"/>
        <n v="0.87333333333333329"/>
        <n v="0.55000000000000004"/>
        <n v="0.8"/>
        <n v="0.69"/>
        <n v="0.73333333333333328"/>
        <n v="0.76666666666666672"/>
        <n v="0.91666666666666663"/>
        <n v="0.94"/>
        <n v="0.85"/>
        <n v="0.97499999999999998"/>
        <n v="0.70833333333333337"/>
        <n v="0.66666666666666663"/>
        <n v="0.64"/>
        <n v="0.90833333333333333"/>
        <n v="0.66"/>
        <n v="0.54666666666666663"/>
        <n v="0.56999999999999995"/>
        <n v="0.54"/>
        <n v="0.62"/>
        <n v="0.44666666666666666"/>
        <n v="0.84"/>
        <n v="0.45833333333333331"/>
        <n v="0.48666666666666669"/>
        <n v="0.53333333333333333"/>
        <n v="0.94166666666666665"/>
        <n v="0.60833333333333328"/>
        <n v="0.7"/>
        <n v="0.65"/>
        <n v="0.93"/>
        <n v="0.73199999999999998"/>
        <n v="0.65200000000000002"/>
        <n v="0.92666666666666664"/>
        <n v="0.78"/>
        <n v="0.34666666666666668"/>
        <n v="0.98666666666666669"/>
        <n v="0.55600000000000005"/>
        <n v="0.56666666666666665"/>
        <n v="0.9"/>
        <n v="0.95199999999999996"/>
        <n v="0.57333333333333336"/>
        <n v="0.82666666666666666"/>
        <n v="0.33333333333333331"/>
        <n v="0.46"/>
        <n v="0.58799999999999997"/>
        <n v="0.99333333333333329"/>
        <n v="0.53"/>
        <n v="0.56799999999999995"/>
        <n v="0.94666666666666666"/>
        <n v="0.33600000000000002"/>
        <n v="0.45333333333333331"/>
        <n v="0.65333333333333332"/>
        <n v="0.92500000000000004"/>
        <n v="0.63"/>
        <n v="0.72"/>
        <n v="0.75"/>
        <n v="0.48"/>
        <n v="0.91333333333333333"/>
        <n v="0.69333333333333336"/>
        <n v="0.59"/>
        <n v="0.45"/>
        <n v="0.96"/>
        <n v="1"/>
        <n v="0.88666666666666671"/>
      </sharedItems>
    </cacheField>
  </cacheFields>
  <extLst>
    <ext xmlns:x14="http://schemas.microsoft.com/office/spreadsheetml/2009/9/main" uri="{725AE2AE-9491-48be-B2B4-4EB974FC3084}">
      <x14:pivotCacheDefinition pivotCacheId="15028543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
  <r>
    <x v="0"/>
    <s v="ST010"/>
    <x v="0"/>
    <x v="0"/>
    <x v="0"/>
    <x v="0"/>
    <n v="85000"/>
    <x v="0"/>
    <x v="0"/>
  </r>
  <r>
    <x v="1"/>
    <s v="ST001"/>
    <x v="1"/>
    <x v="0"/>
    <x v="0"/>
    <x v="1"/>
    <n v="75000"/>
    <x v="1"/>
    <x v="1"/>
  </r>
  <r>
    <x v="2"/>
    <s v="ST002"/>
    <x v="1"/>
    <x v="1"/>
    <x v="1"/>
    <x v="2"/>
    <n v="120000"/>
    <x v="2"/>
    <x v="2"/>
  </r>
  <r>
    <x v="3"/>
    <s v="ST001"/>
    <x v="1"/>
    <x v="0"/>
    <x v="0"/>
    <x v="3"/>
    <n v="75000"/>
    <x v="3"/>
    <x v="3"/>
  </r>
  <r>
    <x v="4"/>
    <s v="ST004"/>
    <x v="0"/>
    <x v="2"/>
    <x v="2"/>
    <x v="4"/>
    <n v="120000"/>
    <x v="4"/>
    <x v="4"/>
  </r>
  <r>
    <x v="5"/>
    <s v="ST009"/>
    <x v="2"/>
    <x v="1"/>
    <x v="1"/>
    <x v="5"/>
    <n v="75000"/>
    <x v="5"/>
    <x v="5"/>
  </r>
  <r>
    <x v="6"/>
    <s v="ST002"/>
    <x v="1"/>
    <x v="1"/>
    <x v="1"/>
    <x v="6"/>
    <n v="120000"/>
    <x v="6"/>
    <x v="6"/>
  </r>
  <r>
    <x v="7"/>
    <s v="ST005"/>
    <x v="3"/>
    <x v="3"/>
    <x v="1"/>
    <x v="7"/>
    <n v="90000"/>
    <x v="7"/>
    <x v="7"/>
  </r>
  <r>
    <x v="8"/>
    <s v="ST004"/>
    <x v="0"/>
    <x v="2"/>
    <x v="2"/>
    <x v="8"/>
    <n v="85000"/>
    <x v="8"/>
    <x v="8"/>
  </r>
  <r>
    <x v="9"/>
    <s v="ST010"/>
    <x v="0"/>
    <x v="0"/>
    <x v="0"/>
    <x v="9"/>
    <n v="120000"/>
    <x v="9"/>
    <x v="9"/>
  </r>
  <r>
    <x v="10"/>
    <s v="ST009"/>
    <x v="2"/>
    <x v="1"/>
    <x v="1"/>
    <x v="10"/>
    <n v="90000"/>
    <x v="10"/>
    <x v="10"/>
  </r>
  <r>
    <x v="11"/>
    <s v="ST006"/>
    <x v="4"/>
    <x v="4"/>
    <x v="0"/>
    <x v="11"/>
    <n v="90000"/>
    <x v="11"/>
    <x v="11"/>
  </r>
  <r>
    <x v="12"/>
    <s v="ST003"/>
    <x v="2"/>
    <x v="0"/>
    <x v="3"/>
    <x v="12"/>
    <n v="85000"/>
    <x v="12"/>
    <x v="12"/>
  </r>
  <r>
    <x v="13"/>
    <s v="ST007"/>
    <x v="5"/>
    <x v="0"/>
    <x v="0"/>
    <x v="13"/>
    <n v="75000"/>
    <x v="13"/>
    <x v="13"/>
  </r>
  <r>
    <x v="14"/>
    <s v="ST005"/>
    <x v="3"/>
    <x v="3"/>
    <x v="1"/>
    <x v="14"/>
    <n v="75000"/>
    <x v="14"/>
    <x v="14"/>
  </r>
  <r>
    <x v="15"/>
    <s v="ST009"/>
    <x v="2"/>
    <x v="1"/>
    <x v="1"/>
    <x v="15"/>
    <n v="90000"/>
    <x v="15"/>
    <x v="15"/>
  </r>
  <r>
    <x v="16"/>
    <s v="ST008"/>
    <x v="1"/>
    <x v="2"/>
    <x v="2"/>
    <x v="16"/>
    <n v="75000"/>
    <x v="16"/>
    <x v="16"/>
  </r>
  <r>
    <x v="17"/>
    <s v="ST002"/>
    <x v="1"/>
    <x v="1"/>
    <x v="1"/>
    <x v="17"/>
    <n v="90000"/>
    <x v="17"/>
    <x v="17"/>
  </r>
  <r>
    <x v="18"/>
    <s v="ST002"/>
    <x v="1"/>
    <x v="1"/>
    <x v="1"/>
    <x v="18"/>
    <n v="85000"/>
    <x v="18"/>
    <x v="18"/>
  </r>
  <r>
    <x v="19"/>
    <s v="ST009"/>
    <x v="2"/>
    <x v="1"/>
    <x v="1"/>
    <x v="19"/>
    <n v="75000"/>
    <x v="19"/>
    <x v="19"/>
  </r>
  <r>
    <x v="20"/>
    <s v="ST008"/>
    <x v="1"/>
    <x v="2"/>
    <x v="2"/>
    <x v="20"/>
    <n v="75000"/>
    <x v="20"/>
    <x v="20"/>
  </r>
  <r>
    <x v="21"/>
    <s v="ST009"/>
    <x v="2"/>
    <x v="1"/>
    <x v="1"/>
    <x v="10"/>
    <n v="90000"/>
    <x v="10"/>
    <x v="10"/>
  </r>
  <r>
    <x v="22"/>
    <s v="ST004"/>
    <x v="0"/>
    <x v="2"/>
    <x v="2"/>
    <x v="21"/>
    <n v="75000"/>
    <x v="21"/>
    <x v="21"/>
  </r>
  <r>
    <x v="23"/>
    <s v="ST005"/>
    <x v="3"/>
    <x v="3"/>
    <x v="1"/>
    <x v="22"/>
    <n v="120000"/>
    <x v="22"/>
    <x v="22"/>
  </r>
  <r>
    <x v="24"/>
    <s v="ST005"/>
    <x v="3"/>
    <x v="3"/>
    <x v="1"/>
    <x v="21"/>
    <n v="120000"/>
    <x v="23"/>
    <x v="23"/>
  </r>
  <r>
    <x v="25"/>
    <s v="ST005"/>
    <x v="3"/>
    <x v="3"/>
    <x v="1"/>
    <x v="23"/>
    <n v="75000"/>
    <x v="24"/>
    <x v="24"/>
  </r>
  <r>
    <x v="26"/>
    <s v="ST008"/>
    <x v="1"/>
    <x v="2"/>
    <x v="2"/>
    <x v="24"/>
    <n v="75000"/>
    <x v="25"/>
    <x v="25"/>
  </r>
  <r>
    <x v="27"/>
    <s v="ST002"/>
    <x v="1"/>
    <x v="1"/>
    <x v="1"/>
    <x v="25"/>
    <n v="90000"/>
    <x v="26"/>
    <x v="26"/>
  </r>
  <r>
    <x v="28"/>
    <s v="ST001"/>
    <x v="1"/>
    <x v="0"/>
    <x v="0"/>
    <x v="26"/>
    <n v="75000"/>
    <x v="27"/>
    <x v="27"/>
  </r>
  <r>
    <x v="29"/>
    <s v="ST001"/>
    <x v="1"/>
    <x v="0"/>
    <x v="0"/>
    <x v="27"/>
    <n v="90000"/>
    <x v="28"/>
    <x v="28"/>
  </r>
  <r>
    <x v="30"/>
    <s v="ST002"/>
    <x v="1"/>
    <x v="1"/>
    <x v="1"/>
    <x v="25"/>
    <n v="85000"/>
    <x v="29"/>
    <x v="26"/>
  </r>
  <r>
    <x v="31"/>
    <s v="ST004"/>
    <x v="0"/>
    <x v="2"/>
    <x v="2"/>
    <x v="2"/>
    <n v="85000"/>
    <x v="30"/>
    <x v="29"/>
  </r>
  <r>
    <x v="32"/>
    <s v="ST008"/>
    <x v="1"/>
    <x v="2"/>
    <x v="2"/>
    <x v="28"/>
    <n v="85000"/>
    <x v="31"/>
    <x v="14"/>
  </r>
  <r>
    <x v="33"/>
    <s v="ST001"/>
    <x v="1"/>
    <x v="0"/>
    <x v="0"/>
    <x v="29"/>
    <n v="85000"/>
    <x v="32"/>
    <x v="30"/>
  </r>
  <r>
    <x v="34"/>
    <s v="ST003"/>
    <x v="2"/>
    <x v="0"/>
    <x v="3"/>
    <x v="30"/>
    <n v="85000"/>
    <x v="33"/>
    <x v="31"/>
  </r>
  <r>
    <x v="35"/>
    <s v="ST010"/>
    <x v="0"/>
    <x v="0"/>
    <x v="0"/>
    <x v="31"/>
    <n v="75000"/>
    <x v="34"/>
    <x v="32"/>
  </r>
  <r>
    <x v="36"/>
    <s v="ST008"/>
    <x v="1"/>
    <x v="2"/>
    <x v="2"/>
    <x v="32"/>
    <n v="90000"/>
    <x v="35"/>
    <x v="33"/>
  </r>
  <r>
    <x v="37"/>
    <s v="ST002"/>
    <x v="1"/>
    <x v="1"/>
    <x v="1"/>
    <x v="28"/>
    <n v="120000"/>
    <x v="36"/>
    <x v="34"/>
  </r>
  <r>
    <x v="38"/>
    <s v="ST009"/>
    <x v="2"/>
    <x v="1"/>
    <x v="1"/>
    <x v="33"/>
    <n v="90000"/>
    <x v="2"/>
    <x v="3"/>
  </r>
  <r>
    <x v="39"/>
    <s v="ST007"/>
    <x v="5"/>
    <x v="0"/>
    <x v="0"/>
    <x v="34"/>
    <n v="90000"/>
    <x v="6"/>
    <x v="24"/>
  </r>
  <r>
    <x v="40"/>
    <s v="ST001"/>
    <x v="1"/>
    <x v="0"/>
    <x v="0"/>
    <x v="35"/>
    <n v="120000"/>
    <x v="37"/>
    <x v="35"/>
  </r>
  <r>
    <x v="41"/>
    <s v="ST001"/>
    <x v="1"/>
    <x v="0"/>
    <x v="0"/>
    <x v="23"/>
    <n v="120000"/>
    <x v="38"/>
    <x v="36"/>
  </r>
  <r>
    <x v="42"/>
    <s v="ST002"/>
    <x v="1"/>
    <x v="1"/>
    <x v="1"/>
    <x v="0"/>
    <n v="120000"/>
    <x v="39"/>
    <x v="37"/>
  </r>
  <r>
    <x v="43"/>
    <s v="ST009"/>
    <x v="2"/>
    <x v="1"/>
    <x v="1"/>
    <x v="35"/>
    <n v="75000"/>
    <x v="40"/>
    <x v="38"/>
  </r>
  <r>
    <x v="44"/>
    <s v="ST005"/>
    <x v="3"/>
    <x v="3"/>
    <x v="1"/>
    <x v="32"/>
    <n v="120000"/>
    <x v="41"/>
    <x v="39"/>
  </r>
  <r>
    <x v="45"/>
    <s v="ST002"/>
    <x v="1"/>
    <x v="1"/>
    <x v="1"/>
    <x v="36"/>
    <n v="120000"/>
    <x v="42"/>
    <x v="40"/>
  </r>
  <r>
    <x v="46"/>
    <s v="ST004"/>
    <x v="0"/>
    <x v="2"/>
    <x v="2"/>
    <x v="37"/>
    <n v="120000"/>
    <x v="43"/>
    <x v="41"/>
  </r>
  <r>
    <x v="47"/>
    <s v="ST003"/>
    <x v="2"/>
    <x v="0"/>
    <x v="3"/>
    <x v="38"/>
    <n v="75000"/>
    <x v="44"/>
    <x v="42"/>
  </r>
  <r>
    <x v="48"/>
    <s v="ST003"/>
    <x v="2"/>
    <x v="0"/>
    <x v="3"/>
    <x v="39"/>
    <n v="75000"/>
    <x v="45"/>
    <x v="43"/>
  </r>
  <r>
    <x v="49"/>
    <s v="ST004"/>
    <x v="0"/>
    <x v="2"/>
    <x v="2"/>
    <x v="40"/>
    <n v="90000"/>
    <x v="46"/>
    <x v="39"/>
  </r>
  <r>
    <x v="50"/>
    <s v="ST007"/>
    <x v="5"/>
    <x v="0"/>
    <x v="0"/>
    <x v="41"/>
    <n v="120000"/>
    <x v="47"/>
    <x v="44"/>
  </r>
  <r>
    <x v="51"/>
    <s v="ST006"/>
    <x v="4"/>
    <x v="4"/>
    <x v="0"/>
    <x v="42"/>
    <n v="85000"/>
    <x v="48"/>
    <x v="20"/>
  </r>
  <r>
    <x v="52"/>
    <s v="ST004"/>
    <x v="0"/>
    <x v="2"/>
    <x v="2"/>
    <x v="36"/>
    <n v="75000"/>
    <x v="49"/>
    <x v="45"/>
  </r>
  <r>
    <x v="53"/>
    <s v="ST007"/>
    <x v="5"/>
    <x v="0"/>
    <x v="0"/>
    <x v="43"/>
    <n v="85000"/>
    <x v="50"/>
    <x v="46"/>
  </r>
  <r>
    <x v="54"/>
    <s v="ST010"/>
    <x v="0"/>
    <x v="0"/>
    <x v="0"/>
    <x v="44"/>
    <n v="75000"/>
    <x v="51"/>
    <x v="47"/>
  </r>
  <r>
    <x v="55"/>
    <s v="ST003"/>
    <x v="2"/>
    <x v="0"/>
    <x v="3"/>
    <x v="41"/>
    <n v="90000"/>
    <x v="52"/>
    <x v="48"/>
  </r>
  <r>
    <x v="56"/>
    <s v="ST006"/>
    <x v="4"/>
    <x v="4"/>
    <x v="0"/>
    <x v="21"/>
    <n v="120000"/>
    <x v="23"/>
    <x v="49"/>
  </r>
  <r>
    <x v="57"/>
    <s v="ST004"/>
    <x v="0"/>
    <x v="2"/>
    <x v="2"/>
    <x v="45"/>
    <n v="85000"/>
    <x v="53"/>
    <x v="50"/>
  </r>
  <r>
    <x v="58"/>
    <s v="ST004"/>
    <x v="0"/>
    <x v="2"/>
    <x v="2"/>
    <x v="36"/>
    <n v="120000"/>
    <x v="42"/>
    <x v="45"/>
  </r>
  <r>
    <x v="59"/>
    <s v="ST002"/>
    <x v="1"/>
    <x v="1"/>
    <x v="1"/>
    <x v="28"/>
    <n v="90000"/>
    <x v="14"/>
    <x v="34"/>
  </r>
  <r>
    <x v="60"/>
    <s v="ST003"/>
    <x v="2"/>
    <x v="0"/>
    <x v="3"/>
    <x v="46"/>
    <n v="120000"/>
    <x v="54"/>
    <x v="51"/>
  </r>
  <r>
    <x v="61"/>
    <s v="ST001"/>
    <x v="1"/>
    <x v="0"/>
    <x v="0"/>
    <x v="4"/>
    <n v="90000"/>
    <x v="55"/>
    <x v="52"/>
  </r>
  <r>
    <x v="62"/>
    <s v="ST010"/>
    <x v="0"/>
    <x v="0"/>
    <x v="0"/>
    <x v="47"/>
    <n v="85000"/>
    <x v="56"/>
    <x v="53"/>
  </r>
  <r>
    <x v="63"/>
    <s v="ST007"/>
    <x v="5"/>
    <x v="0"/>
    <x v="0"/>
    <x v="3"/>
    <n v="90000"/>
    <x v="57"/>
    <x v="3"/>
  </r>
  <r>
    <x v="64"/>
    <s v="ST007"/>
    <x v="5"/>
    <x v="0"/>
    <x v="0"/>
    <x v="48"/>
    <n v="120000"/>
    <x v="24"/>
    <x v="54"/>
  </r>
  <r>
    <x v="65"/>
    <s v="ST006"/>
    <x v="4"/>
    <x v="4"/>
    <x v="0"/>
    <x v="16"/>
    <n v="75000"/>
    <x v="16"/>
    <x v="55"/>
  </r>
  <r>
    <x v="66"/>
    <s v="ST003"/>
    <x v="2"/>
    <x v="0"/>
    <x v="3"/>
    <x v="49"/>
    <n v="75000"/>
    <x v="58"/>
    <x v="56"/>
  </r>
  <r>
    <x v="67"/>
    <s v="ST001"/>
    <x v="1"/>
    <x v="0"/>
    <x v="0"/>
    <x v="50"/>
    <n v="90000"/>
    <x v="59"/>
    <x v="57"/>
  </r>
  <r>
    <x v="68"/>
    <s v="ST008"/>
    <x v="1"/>
    <x v="2"/>
    <x v="2"/>
    <x v="51"/>
    <n v="120000"/>
    <x v="60"/>
    <x v="58"/>
  </r>
  <r>
    <x v="69"/>
    <s v="ST003"/>
    <x v="2"/>
    <x v="0"/>
    <x v="3"/>
    <x v="52"/>
    <n v="85000"/>
    <x v="61"/>
    <x v="59"/>
  </r>
  <r>
    <x v="70"/>
    <s v="ST006"/>
    <x v="4"/>
    <x v="4"/>
    <x v="0"/>
    <x v="52"/>
    <n v="85000"/>
    <x v="61"/>
    <x v="60"/>
  </r>
  <r>
    <x v="71"/>
    <s v="ST003"/>
    <x v="2"/>
    <x v="0"/>
    <x v="3"/>
    <x v="32"/>
    <n v="75000"/>
    <x v="46"/>
    <x v="61"/>
  </r>
  <r>
    <x v="72"/>
    <s v="ST010"/>
    <x v="0"/>
    <x v="0"/>
    <x v="0"/>
    <x v="53"/>
    <n v="120000"/>
    <x v="62"/>
    <x v="62"/>
  </r>
  <r>
    <x v="73"/>
    <s v="ST007"/>
    <x v="5"/>
    <x v="0"/>
    <x v="0"/>
    <x v="7"/>
    <n v="90000"/>
    <x v="7"/>
    <x v="63"/>
  </r>
  <r>
    <x v="74"/>
    <s v="ST005"/>
    <x v="3"/>
    <x v="3"/>
    <x v="1"/>
    <x v="54"/>
    <n v="90000"/>
    <x v="63"/>
    <x v="64"/>
  </r>
  <r>
    <x v="75"/>
    <s v="ST008"/>
    <x v="1"/>
    <x v="2"/>
    <x v="2"/>
    <x v="55"/>
    <n v="120000"/>
    <x v="35"/>
    <x v="65"/>
  </r>
  <r>
    <x v="76"/>
    <s v="ST007"/>
    <x v="5"/>
    <x v="0"/>
    <x v="0"/>
    <x v="27"/>
    <n v="120000"/>
    <x v="64"/>
    <x v="28"/>
  </r>
  <r>
    <x v="77"/>
    <s v="ST004"/>
    <x v="0"/>
    <x v="2"/>
    <x v="2"/>
    <x v="56"/>
    <n v="85000"/>
    <x v="65"/>
    <x v="66"/>
  </r>
  <r>
    <x v="78"/>
    <s v="ST005"/>
    <x v="3"/>
    <x v="3"/>
    <x v="1"/>
    <x v="45"/>
    <n v="120000"/>
    <x v="66"/>
    <x v="67"/>
  </r>
  <r>
    <x v="79"/>
    <s v="ST006"/>
    <x v="4"/>
    <x v="4"/>
    <x v="0"/>
    <x v="56"/>
    <n v="75000"/>
    <x v="67"/>
    <x v="68"/>
  </r>
  <r>
    <x v="80"/>
    <s v="ST007"/>
    <x v="5"/>
    <x v="0"/>
    <x v="0"/>
    <x v="57"/>
    <n v="90000"/>
    <x v="68"/>
    <x v="69"/>
  </r>
  <r>
    <x v="81"/>
    <s v="ST006"/>
    <x v="4"/>
    <x v="4"/>
    <x v="0"/>
    <x v="58"/>
    <n v="120000"/>
    <x v="69"/>
    <x v="70"/>
  </r>
  <r>
    <x v="82"/>
    <s v="ST004"/>
    <x v="0"/>
    <x v="2"/>
    <x v="2"/>
    <x v="59"/>
    <n v="75000"/>
    <x v="70"/>
    <x v="71"/>
  </r>
  <r>
    <x v="83"/>
    <s v="ST009"/>
    <x v="2"/>
    <x v="1"/>
    <x v="1"/>
    <x v="60"/>
    <n v="90000"/>
    <x v="71"/>
    <x v="72"/>
  </r>
  <r>
    <x v="84"/>
    <s v="ST003"/>
    <x v="2"/>
    <x v="0"/>
    <x v="3"/>
    <x v="61"/>
    <n v="75000"/>
    <x v="72"/>
    <x v="73"/>
  </r>
  <r>
    <x v="85"/>
    <s v="ST008"/>
    <x v="1"/>
    <x v="2"/>
    <x v="2"/>
    <x v="36"/>
    <n v="120000"/>
    <x v="42"/>
    <x v="45"/>
  </r>
  <r>
    <x v="86"/>
    <s v="ST006"/>
    <x v="4"/>
    <x v="4"/>
    <x v="0"/>
    <x v="56"/>
    <n v="90000"/>
    <x v="73"/>
    <x v="68"/>
  </r>
  <r>
    <x v="87"/>
    <s v="ST002"/>
    <x v="1"/>
    <x v="1"/>
    <x v="1"/>
    <x v="62"/>
    <n v="120000"/>
    <x v="74"/>
    <x v="74"/>
  </r>
  <r>
    <x v="88"/>
    <s v="ST001"/>
    <x v="1"/>
    <x v="0"/>
    <x v="0"/>
    <x v="31"/>
    <n v="75000"/>
    <x v="34"/>
    <x v="32"/>
  </r>
  <r>
    <x v="89"/>
    <s v="ST007"/>
    <x v="5"/>
    <x v="0"/>
    <x v="0"/>
    <x v="63"/>
    <n v="120000"/>
    <x v="75"/>
    <x v="7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02A952-E686-F744-89E2-F5B853733BEA}" name="PivotTable2"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3:P21" firstHeaderRow="1" firstDataRow="3" firstDataCol="1"/>
  <pivotFields count="9">
    <pivotField numFmtId="14" showAll="0"/>
    <pivotField showAll="0"/>
    <pivotField axis="axisRow" showAll="0">
      <items count="7">
        <item x="3"/>
        <item x="2"/>
        <item x="4"/>
        <item x="5"/>
        <item x="0"/>
        <item x="1"/>
        <item t="default"/>
      </items>
    </pivotField>
    <pivotField axis="axisRow" showAll="0">
      <items count="6">
        <item x="1"/>
        <item x="0"/>
        <item x="4"/>
        <item x="2"/>
        <item x="3"/>
        <item t="default"/>
      </items>
    </pivotField>
    <pivotField axis="axisCol" showAll="0">
      <items count="5">
        <item x="2"/>
        <item x="1"/>
        <item x="0"/>
        <item x="3"/>
        <item t="default"/>
      </items>
    </pivotField>
    <pivotField dataField="1" showAll="0">
      <items count="65">
        <item x="48"/>
        <item x="43"/>
        <item x="51"/>
        <item x="60"/>
        <item x="28"/>
        <item x="2"/>
        <item x="59"/>
        <item x="55"/>
        <item x="24"/>
        <item x="14"/>
        <item x="31"/>
        <item x="53"/>
        <item x="16"/>
        <item x="40"/>
        <item x="56"/>
        <item x="35"/>
        <item x="6"/>
        <item x="33"/>
        <item x="10"/>
        <item x="36"/>
        <item x="23"/>
        <item x="29"/>
        <item x="27"/>
        <item x="32"/>
        <item x="21"/>
        <item x="4"/>
        <item x="17"/>
        <item x="45"/>
        <item x="18"/>
        <item x="37"/>
        <item x="20"/>
        <item x="3"/>
        <item x="15"/>
        <item x="8"/>
        <item x="7"/>
        <item x="26"/>
        <item x="34"/>
        <item x="58"/>
        <item x="25"/>
        <item x="19"/>
        <item x="54"/>
        <item x="0"/>
        <item x="22"/>
        <item x="5"/>
        <item x="62"/>
        <item x="1"/>
        <item x="47"/>
        <item x="9"/>
        <item x="13"/>
        <item x="63"/>
        <item x="57"/>
        <item x="41"/>
        <item x="42"/>
        <item x="52"/>
        <item x="11"/>
        <item x="49"/>
        <item x="44"/>
        <item x="50"/>
        <item x="30"/>
        <item x="39"/>
        <item x="12"/>
        <item x="38"/>
        <item x="46"/>
        <item x="61"/>
        <item t="default"/>
      </items>
    </pivotField>
    <pivotField showAll="0"/>
    <pivotField dataField="1" numFmtId="3" showAll="0"/>
    <pivotField dataField="1" numFmtId="9" showAll="0">
      <items count="77">
        <item x="54"/>
        <item x="61"/>
        <item x="46"/>
        <item x="32"/>
        <item x="72"/>
        <item x="62"/>
        <item x="34"/>
        <item x="55"/>
        <item x="2"/>
        <item x="68"/>
        <item x="35"/>
        <item x="58"/>
        <item x="36"/>
        <item x="30"/>
        <item x="28"/>
        <item x="14"/>
        <item x="48"/>
        <item x="49"/>
        <item x="59"/>
        <item x="29"/>
        <item x="52"/>
        <item x="56"/>
        <item x="71"/>
        <item x="38"/>
        <item x="31"/>
        <item x="6"/>
        <item x="65"/>
        <item x="3"/>
        <item x="25"/>
        <item x="10"/>
        <item x="40"/>
        <item x="43"/>
        <item x="63"/>
        <item x="27"/>
        <item x="24"/>
        <item x="12"/>
        <item x="16"/>
        <item x="70"/>
        <item x="39"/>
        <item x="23"/>
        <item x="66"/>
        <item x="42"/>
        <item x="17"/>
        <item x="67"/>
        <item x="0"/>
        <item x="18"/>
        <item x="45"/>
        <item x="15"/>
        <item x="1"/>
        <item x="7"/>
        <item x="53"/>
        <item x="9"/>
        <item x="33"/>
        <item x="21"/>
        <item x="4"/>
        <item x="13"/>
        <item x="75"/>
        <item x="50"/>
        <item x="26"/>
        <item x="69"/>
        <item x="19"/>
        <item x="64"/>
        <item x="44"/>
        <item x="41"/>
        <item x="20"/>
        <item x="37"/>
        <item x="60"/>
        <item x="51"/>
        <item x="11"/>
        <item x="73"/>
        <item x="8"/>
        <item x="22"/>
        <item x="47"/>
        <item x="5"/>
        <item x="57"/>
        <item x="74"/>
        <item t="default"/>
      </items>
    </pivotField>
  </pivotFields>
  <rowFields count="2">
    <field x="3"/>
    <field x="2"/>
  </rowFields>
  <rowItems count="16">
    <i>
      <x/>
    </i>
    <i r="1">
      <x v="1"/>
    </i>
    <i r="1">
      <x v="5"/>
    </i>
    <i>
      <x v="1"/>
    </i>
    <i r="1">
      <x v="1"/>
    </i>
    <i r="1">
      <x v="3"/>
    </i>
    <i r="1">
      <x v="4"/>
    </i>
    <i r="1">
      <x v="5"/>
    </i>
    <i>
      <x v="2"/>
    </i>
    <i r="1">
      <x v="2"/>
    </i>
    <i>
      <x v="3"/>
    </i>
    <i r="1">
      <x v="4"/>
    </i>
    <i r="1">
      <x v="5"/>
    </i>
    <i>
      <x v="4"/>
    </i>
    <i r="1">
      <x/>
    </i>
    <i t="grand">
      <x/>
    </i>
  </rowItems>
  <colFields count="2">
    <field x="-2"/>
    <field x="4"/>
  </colFields>
  <colItems count="15">
    <i>
      <x/>
      <x/>
    </i>
    <i r="1">
      <x v="1"/>
    </i>
    <i r="1">
      <x v="2"/>
    </i>
    <i r="1">
      <x v="3"/>
    </i>
    <i i="1">
      <x v="1"/>
      <x/>
    </i>
    <i r="1" i="1">
      <x v="1"/>
    </i>
    <i r="1" i="1">
      <x v="2"/>
    </i>
    <i r="1" i="1">
      <x v="3"/>
    </i>
    <i i="2">
      <x v="2"/>
      <x/>
    </i>
    <i r="1" i="2">
      <x v="1"/>
    </i>
    <i r="1" i="2">
      <x v="2"/>
    </i>
    <i r="1" i="2">
      <x v="3"/>
    </i>
    <i t="grand">
      <x/>
    </i>
    <i t="grand" i="1">
      <x/>
    </i>
    <i t="grand" i="2">
      <x/>
    </i>
  </colItems>
  <dataFields count="3">
    <dataField name="Sum of Occupancy %" fld="8" baseField="0" baseItem="0" numFmtId="9"/>
    <dataField name="Sum of Admissions" fld="5" baseField="0" baseItem="0"/>
    <dataField name="Sum of Box Office" fld="7" baseField="0" baseItem="0" numFmtId="3"/>
  </dataFields>
  <formats count="12">
    <format dxfId="11">
      <pivotArea type="all" dataOnly="0" outline="0" fieldPosition="0"/>
    </format>
    <format dxfId="10">
      <pivotArea outline="0" collapsedLevelsAreSubtotals="1" fieldPosition="0"/>
    </format>
    <format dxfId="9">
      <pivotArea field="-2" type="button" dataOnly="0" labelOnly="1" outline="0" axis="axisCol" fieldPosition="0"/>
    </format>
    <format dxfId="8">
      <pivotArea field="4" type="button" dataOnly="0" labelOnly="1" outline="0" axis="axisCol" fieldPosition="1"/>
    </format>
    <format dxfId="7">
      <pivotArea type="topRight" dataOnly="0" labelOnly="1" outline="0" fieldPosition="0"/>
    </format>
    <format dxfId="6">
      <pivotArea dataOnly="0" labelOnly="1" outline="0" fieldPosition="0">
        <references count="1">
          <reference field="4294967294" count="3">
            <x v="0"/>
            <x v="1"/>
            <x v="2"/>
          </reference>
        </references>
      </pivotArea>
    </format>
    <format dxfId="5">
      <pivotArea field="4" dataOnly="0" labelOnly="1" grandCol="1" outline="0" axis="axisCol" fieldPosition="1">
        <references count="1">
          <reference field="4294967294" count="1" selected="0">
            <x v="0"/>
          </reference>
        </references>
      </pivotArea>
    </format>
    <format dxfId="4">
      <pivotArea field="4" dataOnly="0" labelOnly="1" grandCol="1" outline="0" axis="axisCol" fieldPosition="1">
        <references count="1">
          <reference field="4294967294" count="1" selected="0">
            <x v="1"/>
          </reference>
        </references>
      </pivotArea>
    </format>
    <format dxfId="3">
      <pivotArea field="4" dataOnly="0" labelOnly="1" grandCol="1" outline="0" axis="axisCol" fieldPosition="1">
        <references count="1">
          <reference field="4294967294" count="1" selected="0">
            <x v="2"/>
          </reference>
        </references>
      </pivotArea>
    </format>
    <format dxfId="2">
      <pivotArea dataOnly="0" labelOnly="1" fieldPosition="0">
        <references count="2">
          <reference field="4294967294" count="1" selected="0">
            <x v="0"/>
          </reference>
          <reference field="4" count="0"/>
        </references>
      </pivotArea>
    </format>
    <format dxfId="1">
      <pivotArea dataOnly="0" labelOnly="1" fieldPosition="0">
        <references count="2">
          <reference field="4294967294" count="1" selected="0">
            <x v="1"/>
          </reference>
          <reference field="4" count="0"/>
        </references>
      </pivotArea>
    </format>
    <format dxfId="0">
      <pivotArea dataOnly="0" labelOnly="1" fieldPosition="0">
        <references count="2">
          <reference field="4294967294" count="1" selected="0">
            <x v="2"/>
          </reference>
          <reference field="4" count="0"/>
        </references>
      </pivotArea>
    </format>
  </formats>
  <chartFormats count="12">
    <chartFormat chart="0" format="0" series="1">
      <pivotArea type="data" outline="0" fieldPosition="0">
        <references count="2">
          <reference field="4294967294" count="1" selected="0">
            <x v="0"/>
          </reference>
          <reference field="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series="1">
      <pivotArea type="data" outline="0" fieldPosition="0">
        <references count="2">
          <reference field="4294967294" count="1" selected="0">
            <x v="1"/>
          </reference>
          <reference field="4" count="1" selected="0">
            <x v="0"/>
          </reference>
        </references>
      </pivotArea>
    </chartFormat>
    <chartFormat chart="0" format="5" series="1">
      <pivotArea type="data" outline="0" fieldPosition="0">
        <references count="2">
          <reference field="4294967294" count="1" selected="0">
            <x v="1"/>
          </reference>
          <reference field="4" count="1" selected="0">
            <x v="1"/>
          </reference>
        </references>
      </pivotArea>
    </chartFormat>
    <chartFormat chart="0" format="6" series="1">
      <pivotArea type="data" outline="0" fieldPosition="0">
        <references count="2">
          <reference field="4294967294" count="1" selected="0">
            <x v="1"/>
          </reference>
          <reference field="4" count="1" selected="0">
            <x v="2"/>
          </reference>
        </references>
      </pivotArea>
    </chartFormat>
    <chartFormat chart="0" format="7" series="1">
      <pivotArea type="data" outline="0" fieldPosition="0">
        <references count="2">
          <reference field="4294967294" count="1" selected="0">
            <x v="1"/>
          </reference>
          <reference field="4" count="1" selected="0">
            <x v="3"/>
          </reference>
        </references>
      </pivotArea>
    </chartFormat>
    <chartFormat chart="0" format="8" series="1">
      <pivotArea type="data" outline="0" fieldPosition="0">
        <references count="2">
          <reference field="4294967294" count="1" selected="0">
            <x v="2"/>
          </reference>
          <reference field="4" count="1" selected="0">
            <x v="0"/>
          </reference>
        </references>
      </pivotArea>
    </chartFormat>
    <chartFormat chart="0" format="9" series="1">
      <pivotArea type="data" outline="0" fieldPosition="0">
        <references count="2">
          <reference field="4294967294" count="1" selected="0">
            <x v="2"/>
          </reference>
          <reference field="4" count="1" selected="0">
            <x v="1"/>
          </reference>
        </references>
      </pivotArea>
    </chartFormat>
    <chartFormat chart="0" format="10" series="1">
      <pivotArea type="data" outline="0" fieldPosition="0">
        <references count="2">
          <reference field="4294967294" count="1" selected="0">
            <x v="2"/>
          </reference>
          <reference field="4" count="1" selected="0">
            <x v="2"/>
          </reference>
        </references>
      </pivotArea>
    </chartFormat>
    <chartFormat chart="0" format="11" series="1">
      <pivotArea type="data" outline="0" fieldPosition="0">
        <references count="2">
          <reference field="4294967294" count="1" selected="0">
            <x v="2"/>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vie_Name" xr10:uid="{ECB403A8-CAB0-B941-8195-D63C8E92D349}" sourceName="Movie Name">
  <pivotTables>
    <pivotTable tabId="6" name="PivotTable2"/>
  </pivotTables>
  <data>
    <tabular pivotCacheId="1502854301">
      <items count="6">
        <i x="3" s="1"/>
        <i x="2" s="1"/>
        <i x="4" s="1"/>
        <i x="5"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ater" xr10:uid="{27F5F45B-F09A-1047-9B65-38762F49BFB0}" sourceName="Theater">
  <pivotTables>
    <pivotTable tabId="6" name="PivotTable2"/>
  </pivotTables>
  <data>
    <tabular pivotCacheId="1502854301">
      <items count="5">
        <i x="1" s="1"/>
        <i x="0" s="1"/>
        <i x="4" s="1"/>
        <i x="2"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otal_Seats" xr10:uid="{4F58B79F-33EB-2F4B-80CD-5A982D4008C9}" sourceName="Total Seats">
  <pivotTables>
    <pivotTable tabId="6" name="PivotTable2"/>
  </pivotTables>
  <data>
    <tabular pivotCacheId="1502854301">
      <items count="4">
        <i x="2" s="1"/>
        <i x="1" s="1"/>
        <i x="0"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vie Name 1" xr10:uid="{16E00EAF-830E-5044-9B07-1151A6856149}" cache="Slicer_Movie_Name" caption="Movie Name" rowHeight="251883"/>
  <slicer name="Theater" xr10:uid="{86BBFC35-05D2-B24E-93AA-975150B6988C}" cache="Slicer_Theater" caption="Theater" rowHeight="251883"/>
  <slicer name="Total Seats" xr10:uid="{0CC03479-E158-9B4B-B7F2-B57131BC2F04}" cache="Slicer_Total_Seats" caption="Total Seats"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42056-8547-5547-A427-247E848D019F}">
  <sheetPr codeName="Sheet1">
    <tabColor rgb="FFFFC000"/>
  </sheetPr>
  <dimension ref="A1:F11"/>
  <sheetViews>
    <sheetView workbookViewId="0">
      <selection activeCell="B18" sqref="B18"/>
    </sheetView>
  </sheetViews>
  <sheetFormatPr baseColWidth="10" defaultRowHeight="20" x14ac:dyDescent="0.2"/>
  <cols>
    <col min="1" max="1" width="33.83203125" style="24" customWidth="1"/>
    <col min="2" max="2" width="35" style="24" customWidth="1"/>
    <col min="3" max="3" width="34.83203125" style="24" customWidth="1"/>
    <col min="4" max="5" width="21.83203125" style="24" customWidth="1"/>
    <col min="6" max="6" width="23.6640625" style="24" customWidth="1"/>
    <col min="7" max="16384" width="10.83203125" style="24"/>
  </cols>
  <sheetData>
    <row r="1" spans="1:6" ht="21" thickBot="1" x14ac:dyDescent="0.25">
      <c r="A1" s="29" t="s">
        <v>25</v>
      </c>
      <c r="B1" s="30" t="s">
        <v>26</v>
      </c>
      <c r="C1" s="30" t="s">
        <v>0</v>
      </c>
      <c r="D1" s="30" t="s">
        <v>1</v>
      </c>
      <c r="E1" s="30" t="s">
        <v>27</v>
      </c>
      <c r="F1" s="31" t="s">
        <v>28</v>
      </c>
    </row>
    <row r="2" spans="1:6" x14ac:dyDescent="0.2">
      <c r="A2" s="25" t="s">
        <v>29</v>
      </c>
      <c r="B2" s="25" t="s">
        <v>4</v>
      </c>
      <c r="C2" s="25" t="s">
        <v>30</v>
      </c>
      <c r="D2" s="32">
        <v>0.79166666666666663</v>
      </c>
      <c r="E2" s="25">
        <v>150</v>
      </c>
      <c r="F2" s="25" t="s">
        <v>31</v>
      </c>
    </row>
    <row r="3" spans="1:6" x14ac:dyDescent="0.2">
      <c r="A3" s="27" t="s">
        <v>32</v>
      </c>
      <c r="B3" s="27" t="s">
        <v>4</v>
      </c>
      <c r="C3" s="27" t="s">
        <v>33</v>
      </c>
      <c r="D3" s="33">
        <v>0.85416666666666663</v>
      </c>
      <c r="E3" s="27">
        <v>120</v>
      </c>
      <c r="F3" s="27" t="s">
        <v>31</v>
      </c>
    </row>
    <row r="4" spans="1:6" x14ac:dyDescent="0.2">
      <c r="A4" s="27" t="s">
        <v>34</v>
      </c>
      <c r="B4" s="27" t="s">
        <v>8</v>
      </c>
      <c r="C4" s="27" t="s">
        <v>30</v>
      </c>
      <c r="D4" s="33">
        <v>0.875</v>
      </c>
      <c r="E4" s="27">
        <v>250</v>
      </c>
      <c r="F4" s="27" t="s">
        <v>35</v>
      </c>
    </row>
    <row r="5" spans="1:6" x14ac:dyDescent="0.2">
      <c r="A5" s="27" t="s">
        <v>36</v>
      </c>
      <c r="B5" s="27" t="s">
        <v>6</v>
      </c>
      <c r="C5" s="27" t="s">
        <v>37</v>
      </c>
      <c r="D5" s="33">
        <v>0.41666666666666669</v>
      </c>
      <c r="E5" s="27">
        <v>100</v>
      </c>
      <c r="F5" s="27" t="s">
        <v>31</v>
      </c>
    </row>
    <row r="6" spans="1:6" x14ac:dyDescent="0.2">
      <c r="A6" s="27" t="s">
        <v>38</v>
      </c>
      <c r="B6" s="27" t="s">
        <v>9</v>
      </c>
      <c r="C6" s="27" t="s">
        <v>39</v>
      </c>
      <c r="D6" s="33">
        <v>0.625</v>
      </c>
      <c r="E6" s="27">
        <v>120</v>
      </c>
      <c r="F6" s="27" t="s">
        <v>31</v>
      </c>
    </row>
    <row r="7" spans="1:6" x14ac:dyDescent="0.2">
      <c r="A7" s="27" t="s">
        <v>40</v>
      </c>
      <c r="B7" s="27" t="s">
        <v>22</v>
      </c>
      <c r="C7" s="27" t="s">
        <v>41</v>
      </c>
      <c r="D7" s="33">
        <v>0.75</v>
      </c>
      <c r="E7" s="27">
        <v>150</v>
      </c>
      <c r="F7" s="27" t="s">
        <v>31</v>
      </c>
    </row>
    <row r="8" spans="1:6" x14ac:dyDescent="0.2">
      <c r="A8" s="27" t="s">
        <v>42</v>
      </c>
      <c r="B8" s="27" t="s">
        <v>24</v>
      </c>
      <c r="C8" s="27" t="s">
        <v>30</v>
      </c>
      <c r="D8" s="33">
        <v>0.9375</v>
      </c>
      <c r="E8" s="27">
        <v>150</v>
      </c>
      <c r="F8" s="27" t="s">
        <v>31</v>
      </c>
    </row>
    <row r="9" spans="1:6" x14ac:dyDescent="0.2">
      <c r="A9" s="27" t="s">
        <v>43</v>
      </c>
      <c r="B9" s="27" t="s">
        <v>4</v>
      </c>
      <c r="C9" s="27" t="s">
        <v>37</v>
      </c>
      <c r="D9" s="33">
        <v>0.8125</v>
      </c>
      <c r="E9" s="27">
        <v>100</v>
      </c>
      <c r="F9" s="27" t="s">
        <v>31</v>
      </c>
    </row>
    <row r="10" spans="1:6" x14ac:dyDescent="0.2">
      <c r="A10" s="27" t="s">
        <v>44</v>
      </c>
      <c r="B10" s="27" t="s">
        <v>8</v>
      </c>
      <c r="C10" s="27" t="s">
        <v>33</v>
      </c>
      <c r="D10" s="33">
        <v>0.66666666666666663</v>
      </c>
      <c r="E10" s="27">
        <v>120</v>
      </c>
      <c r="F10" s="27" t="s">
        <v>31</v>
      </c>
    </row>
    <row r="11" spans="1:6" x14ac:dyDescent="0.2">
      <c r="A11" s="27" t="s">
        <v>45</v>
      </c>
      <c r="B11" s="27" t="s">
        <v>6</v>
      </c>
      <c r="C11" s="27" t="s">
        <v>30</v>
      </c>
      <c r="D11" s="33">
        <v>0.58333333333333337</v>
      </c>
      <c r="E11" s="27">
        <v>150</v>
      </c>
      <c r="F11" s="27" t="s">
        <v>31</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502C6-8F13-8149-B45A-0EFDA8A6E87E}">
  <sheetPr codeName="Sheet2">
    <tabColor rgb="FF92D050"/>
  </sheetPr>
  <dimension ref="A1:D7"/>
  <sheetViews>
    <sheetView workbookViewId="0">
      <selection activeCell="B25" sqref="B25"/>
    </sheetView>
  </sheetViews>
  <sheetFormatPr baseColWidth="10" defaultRowHeight="20" x14ac:dyDescent="0.2"/>
  <cols>
    <col min="1" max="1" width="35.5" style="24" customWidth="1"/>
    <col min="2" max="2" width="47" style="24" customWidth="1"/>
    <col min="3" max="3" width="57" style="24" customWidth="1"/>
    <col min="4" max="4" width="36.1640625" style="24" customWidth="1"/>
    <col min="5" max="16384" width="10.83203125" style="24"/>
  </cols>
  <sheetData>
    <row r="1" spans="1:4" ht="21" thickBot="1" x14ac:dyDescent="0.25">
      <c r="A1" s="21" t="s">
        <v>13</v>
      </c>
      <c r="B1" s="22" t="s">
        <v>14</v>
      </c>
      <c r="C1" s="22" t="s">
        <v>15</v>
      </c>
      <c r="D1" s="23" t="s">
        <v>16</v>
      </c>
    </row>
    <row r="2" spans="1:4" x14ac:dyDescent="0.2">
      <c r="A2" s="25" t="s">
        <v>4</v>
      </c>
      <c r="B2" s="25" t="s">
        <v>17</v>
      </c>
      <c r="C2" s="26">
        <v>0.5</v>
      </c>
      <c r="D2" s="25" t="s">
        <v>5</v>
      </c>
    </row>
    <row r="3" spans="1:4" x14ac:dyDescent="0.2">
      <c r="A3" s="27" t="s">
        <v>9</v>
      </c>
      <c r="B3" s="27" t="s">
        <v>18</v>
      </c>
      <c r="C3" s="28">
        <v>0</v>
      </c>
      <c r="D3" s="27" t="s">
        <v>10</v>
      </c>
    </row>
    <row r="4" spans="1:4" x14ac:dyDescent="0.2">
      <c r="A4" s="27" t="s">
        <v>8</v>
      </c>
      <c r="B4" s="27" t="s">
        <v>19</v>
      </c>
      <c r="C4" s="28">
        <v>0.55000000000000004</v>
      </c>
      <c r="D4" s="27" t="s">
        <v>20</v>
      </c>
    </row>
    <row r="5" spans="1:4" x14ac:dyDescent="0.2">
      <c r="A5" s="27" t="s">
        <v>6</v>
      </c>
      <c r="B5" s="27" t="s">
        <v>21</v>
      </c>
      <c r="C5" s="28">
        <v>0.5</v>
      </c>
      <c r="D5" s="27" t="s">
        <v>7</v>
      </c>
    </row>
    <row r="6" spans="1:4" x14ac:dyDescent="0.2">
      <c r="A6" s="27" t="s">
        <v>22</v>
      </c>
      <c r="B6" s="27" t="s">
        <v>23</v>
      </c>
      <c r="C6" s="28">
        <v>0.45</v>
      </c>
      <c r="D6" s="27" t="s">
        <v>11</v>
      </c>
    </row>
    <row r="7" spans="1:4" x14ac:dyDescent="0.2">
      <c r="A7" s="27" t="s">
        <v>24</v>
      </c>
      <c r="B7" s="27" t="s">
        <v>19</v>
      </c>
      <c r="C7" s="28">
        <v>0.55000000000000004</v>
      </c>
      <c r="D7" s="27" t="s">
        <v>12</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C1920-25A2-2949-9AAB-34CCA66BEBA1}">
  <sheetPr codeName="Sheet3">
    <tabColor rgb="FFFF0000"/>
  </sheetPr>
  <dimension ref="A1:I91"/>
  <sheetViews>
    <sheetView tabSelected="1" zoomScale="113" zoomScaleNormal="113" workbookViewId="0">
      <selection activeCell="A2" sqref="A2"/>
    </sheetView>
  </sheetViews>
  <sheetFormatPr baseColWidth="10" defaultRowHeight="18" x14ac:dyDescent="0.2"/>
  <cols>
    <col min="1" max="1" width="10.83203125" style="15"/>
    <col min="2" max="2" width="20" style="18" bestFit="1" customWidth="1"/>
    <col min="3" max="3" width="22" style="18" customWidth="1"/>
    <col min="4" max="4" width="21.6640625" style="18" customWidth="1"/>
    <col min="5" max="5" width="17.5" style="18" customWidth="1"/>
    <col min="6" max="6" width="25.1640625" style="18" customWidth="1"/>
    <col min="7" max="7" width="18.6640625" style="18" customWidth="1"/>
    <col min="8" max="8" width="19.33203125" style="18" customWidth="1"/>
    <col min="9" max="9" width="16.1640625" style="18" customWidth="1"/>
    <col min="10" max="16384" width="10.83203125" style="15"/>
  </cols>
  <sheetData>
    <row r="1" spans="1:9" s="11" customFormat="1" ht="19" thickBot="1" x14ac:dyDescent="0.25">
      <c r="A1" s="19" t="s">
        <v>58</v>
      </c>
      <c r="B1" s="10" t="s">
        <v>25</v>
      </c>
      <c r="C1" s="10" t="s">
        <v>26</v>
      </c>
      <c r="D1" s="10" t="s">
        <v>0</v>
      </c>
      <c r="E1" s="10" t="s">
        <v>27</v>
      </c>
      <c r="F1" s="10" t="s">
        <v>2</v>
      </c>
      <c r="G1" s="10" t="s">
        <v>3</v>
      </c>
      <c r="H1" s="36" t="s">
        <v>46</v>
      </c>
      <c r="I1" s="38" t="s">
        <v>47</v>
      </c>
    </row>
    <row r="2" spans="1:9" x14ac:dyDescent="0.2">
      <c r="A2" s="20">
        <v>45992</v>
      </c>
      <c r="B2" s="12" t="str" cm="1">
        <f t="array" aca="1" ref="B2" ca="1">INDEX(Showtimes_Master!$A$2:$A$11, RANDBETWEEN(1, 10))</f>
        <v>ST004</v>
      </c>
      <c r="C2" s="12" t="str">
        <f ca="1">VLOOKUP(B2, Showtimes_Master!$A$2:$E$11, 2, 0)</f>
        <v>Kungfu Panda 4</v>
      </c>
      <c r="D2" s="12" t="str">
        <f ca="1">VLOOKUP(B2, Showtimes_Master!$A$2:$E$11, 3, 0)</f>
        <v>Beta Thái Nguyên</v>
      </c>
      <c r="E2" s="12">
        <f ca="1">VLOOKUP(B2,Showtimes_Master!$A$2:$E$11, 5, 0)</f>
        <v>100</v>
      </c>
      <c r="F2" s="12">
        <f ca="1">RANDBETWEEN(50, E2)</f>
        <v>98</v>
      </c>
      <c r="G2" s="12">
        <f ca="1">CHOOSE(RANDBETWEEN(1,4), 85000, 75000, 120000, 90000)</f>
        <v>75000</v>
      </c>
      <c r="H2" s="13">
        <f ca="1">G2*F2</f>
        <v>7350000</v>
      </c>
      <c r="I2" s="37">
        <f ca="1">F2/E2</f>
        <v>0.98</v>
      </c>
    </row>
    <row r="3" spans="1:9" x14ac:dyDescent="0.2">
      <c r="A3" s="20">
        <v>45993</v>
      </c>
      <c r="B3" s="16" t="str" cm="1">
        <f t="array" aca="1" ref="B3" ca="1">INDEX(Showtimes_Master!$A$2:$A$11, RANDBETWEEN(1, 10))</f>
        <v>ST002</v>
      </c>
      <c r="C3" s="16" t="str">
        <f ca="1">VLOOKUP(B3, Showtimes_Master!$A$2:$E$11, 2, 0)</f>
        <v>Mai</v>
      </c>
      <c r="D3" s="16" t="str">
        <f ca="1">VLOOKUP(B3, Showtimes_Master!$A$2:$E$11, 3, 0)</f>
        <v>Beta Bình Thạnh</v>
      </c>
      <c r="E3" s="16">
        <f ca="1">VLOOKUP(B3,Showtimes_Master!$A$2:$E$11, 5, 0)</f>
        <v>120</v>
      </c>
      <c r="F3" s="16">
        <f t="shared" ref="F3:F66" ca="1" si="0">RANDBETWEEN(50, E3)</f>
        <v>96</v>
      </c>
      <c r="G3" s="16">
        <f t="shared" ref="G3:G66" ca="1" si="1">CHOOSE(RANDBETWEEN(1,4), 85000, 75000, 120000, 90000)</f>
        <v>85000</v>
      </c>
      <c r="H3" s="17">
        <f t="shared" ref="H3:H66" ca="1" si="2">G3*F3</f>
        <v>8160000</v>
      </c>
      <c r="I3" s="14">
        <f t="shared" ref="I3:I66" ca="1" si="3">F3/E3</f>
        <v>0.8</v>
      </c>
    </row>
    <row r="4" spans="1:9" x14ac:dyDescent="0.2">
      <c r="A4" s="20">
        <v>45994</v>
      </c>
      <c r="B4" s="16" t="str" cm="1">
        <f t="array" aca="1" ref="B4" ca="1">INDEX(Showtimes_Master!$A$2:$A$11, RANDBETWEEN(1, 10))</f>
        <v>ST002</v>
      </c>
      <c r="C4" s="16" t="str">
        <f ca="1">VLOOKUP(B4, Showtimes_Master!$A$2:$E$11, 2, 0)</f>
        <v>Mai</v>
      </c>
      <c r="D4" s="16" t="str">
        <f ca="1">VLOOKUP(B4, Showtimes_Master!$A$2:$E$11, 3, 0)</f>
        <v>Beta Bình Thạnh</v>
      </c>
      <c r="E4" s="16">
        <f ca="1">VLOOKUP(B4,Showtimes_Master!$A$2:$E$11, 5, 0)</f>
        <v>120</v>
      </c>
      <c r="F4" s="16">
        <f t="shared" ca="1" si="0"/>
        <v>100</v>
      </c>
      <c r="G4" s="16">
        <f t="shared" ca="1" si="1"/>
        <v>90000</v>
      </c>
      <c r="H4" s="17">
        <f t="shared" ca="1" si="2"/>
        <v>9000000</v>
      </c>
      <c r="I4" s="14">
        <f t="shared" ca="1" si="3"/>
        <v>0.83333333333333337</v>
      </c>
    </row>
    <row r="5" spans="1:9" x14ac:dyDescent="0.2">
      <c r="A5" s="20">
        <v>45995</v>
      </c>
      <c r="B5" s="16" t="str" cm="1">
        <f t="array" aca="1" ref="B5" ca="1">INDEX(Showtimes_Master!$A$2:$A$11, RANDBETWEEN(1, 10))</f>
        <v>ST001</v>
      </c>
      <c r="C5" s="16" t="str">
        <f ca="1">VLOOKUP(B5, Showtimes_Master!$A$2:$E$11, 2, 0)</f>
        <v>Mai</v>
      </c>
      <c r="D5" s="16" t="str">
        <f ca="1">VLOOKUP(B5, Showtimes_Master!$A$2:$E$11, 3, 0)</f>
        <v>Beta Quang Trung</v>
      </c>
      <c r="E5" s="16">
        <f ca="1">VLOOKUP(B5,Showtimes_Master!$A$2:$E$11, 5, 0)</f>
        <v>150</v>
      </c>
      <c r="F5" s="16">
        <f t="shared" ca="1" si="0"/>
        <v>56</v>
      </c>
      <c r="G5" s="16">
        <f t="shared" ca="1" si="1"/>
        <v>75000</v>
      </c>
      <c r="H5" s="17">
        <f t="shared" ca="1" si="2"/>
        <v>4200000</v>
      </c>
      <c r="I5" s="14">
        <f t="shared" ca="1" si="3"/>
        <v>0.37333333333333335</v>
      </c>
    </row>
    <row r="6" spans="1:9" x14ac:dyDescent="0.2">
      <c r="A6" s="20">
        <v>45996</v>
      </c>
      <c r="B6" s="16" t="str" cm="1">
        <f t="array" aca="1" ref="B6" ca="1">INDEX(Showtimes_Master!$A$2:$A$11, RANDBETWEEN(1, 10))</f>
        <v>ST008</v>
      </c>
      <c r="C6" s="16" t="str">
        <f ca="1">VLOOKUP(B6, Showtimes_Master!$A$2:$E$11, 2, 0)</f>
        <v>Mai</v>
      </c>
      <c r="D6" s="16" t="str">
        <f ca="1">VLOOKUP(B6, Showtimes_Master!$A$2:$E$11, 3, 0)</f>
        <v>Beta Thái Nguyên</v>
      </c>
      <c r="E6" s="16">
        <f ca="1">VLOOKUP(B6,Showtimes_Master!$A$2:$E$11, 5, 0)</f>
        <v>100</v>
      </c>
      <c r="F6" s="16">
        <f t="shared" ca="1" si="0"/>
        <v>50</v>
      </c>
      <c r="G6" s="16">
        <f t="shared" ca="1" si="1"/>
        <v>90000</v>
      </c>
      <c r="H6" s="17">
        <f t="shared" ca="1" si="2"/>
        <v>4500000</v>
      </c>
      <c r="I6" s="14">
        <f t="shared" ca="1" si="3"/>
        <v>0.5</v>
      </c>
    </row>
    <row r="7" spans="1:9" x14ac:dyDescent="0.2">
      <c r="A7" s="20">
        <v>45997</v>
      </c>
      <c r="B7" s="16" t="str" cm="1">
        <f t="array" aca="1" ref="B7" ca="1">INDEX(Showtimes_Master!$A$2:$A$11, RANDBETWEEN(1, 10))</f>
        <v>ST008</v>
      </c>
      <c r="C7" s="16" t="str">
        <f ca="1">VLOOKUP(B7, Showtimes_Master!$A$2:$E$11, 2, 0)</f>
        <v>Mai</v>
      </c>
      <c r="D7" s="16" t="str">
        <f ca="1">VLOOKUP(B7, Showtimes_Master!$A$2:$E$11, 3, 0)</f>
        <v>Beta Thái Nguyên</v>
      </c>
      <c r="E7" s="16">
        <f ca="1">VLOOKUP(B7,Showtimes_Master!$A$2:$E$11, 5, 0)</f>
        <v>100</v>
      </c>
      <c r="F7" s="16">
        <f t="shared" ca="1" si="0"/>
        <v>73</v>
      </c>
      <c r="G7" s="16">
        <f t="shared" ca="1" si="1"/>
        <v>75000</v>
      </c>
      <c r="H7" s="17">
        <f t="shared" ca="1" si="2"/>
        <v>5475000</v>
      </c>
      <c r="I7" s="14">
        <f t="shared" ca="1" si="3"/>
        <v>0.73</v>
      </c>
    </row>
    <row r="8" spans="1:9" x14ac:dyDescent="0.2">
      <c r="A8" s="20">
        <v>45998</v>
      </c>
      <c r="B8" s="16" t="str" cm="1">
        <f t="array" aca="1" ref="B8" ca="1">INDEX(Showtimes_Master!$A$2:$A$11, RANDBETWEEN(1, 10))</f>
        <v>ST009</v>
      </c>
      <c r="C8" s="16" t="str">
        <f ca="1">VLOOKUP(B8, Showtimes_Master!$A$2:$E$11, 2, 0)</f>
        <v>Dune: Part Two</v>
      </c>
      <c r="D8" s="16" t="str">
        <f ca="1">VLOOKUP(B8, Showtimes_Master!$A$2:$E$11, 3, 0)</f>
        <v>Beta Bình Thạnh</v>
      </c>
      <c r="E8" s="16">
        <f ca="1">VLOOKUP(B8,Showtimes_Master!$A$2:$E$11, 5, 0)</f>
        <v>120</v>
      </c>
      <c r="F8" s="16">
        <f t="shared" ca="1" si="0"/>
        <v>114</v>
      </c>
      <c r="G8" s="16">
        <f t="shared" ca="1" si="1"/>
        <v>90000</v>
      </c>
      <c r="H8" s="17">
        <f t="shared" ca="1" si="2"/>
        <v>10260000</v>
      </c>
      <c r="I8" s="14">
        <f t="shared" ca="1" si="3"/>
        <v>0.95</v>
      </c>
    </row>
    <row r="9" spans="1:9" x14ac:dyDescent="0.2">
      <c r="A9" s="20">
        <v>45999</v>
      </c>
      <c r="B9" s="16" t="str" cm="1">
        <f t="array" aca="1" ref="B9" ca="1">INDEX(Showtimes_Master!$A$2:$A$11, RANDBETWEEN(1, 10))</f>
        <v>ST007</v>
      </c>
      <c r="C9" s="16" t="str">
        <f ca="1">VLOOKUP(B9, Showtimes_Master!$A$2:$E$11, 2, 0)</f>
        <v>Godzilla x Kong</v>
      </c>
      <c r="D9" s="16" t="str">
        <f ca="1">VLOOKUP(B9, Showtimes_Master!$A$2:$E$11, 3, 0)</f>
        <v>Beta Quang Trung</v>
      </c>
      <c r="E9" s="16">
        <f ca="1">VLOOKUP(B9,Showtimes_Master!$A$2:$E$11, 5, 0)</f>
        <v>150</v>
      </c>
      <c r="F9" s="16">
        <f t="shared" ca="1" si="0"/>
        <v>86</v>
      </c>
      <c r="G9" s="16">
        <f t="shared" ca="1" si="1"/>
        <v>90000</v>
      </c>
      <c r="H9" s="17">
        <f t="shared" ca="1" si="2"/>
        <v>7740000</v>
      </c>
      <c r="I9" s="14">
        <f t="shared" ca="1" si="3"/>
        <v>0.57333333333333336</v>
      </c>
    </row>
    <row r="10" spans="1:9" x14ac:dyDescent="0.2">
      <c r="A10" s="20">
        <v>46000</v>
      </c>
      <c r="B10" s="16" t="str" cm="1">
        <f t="array" aca="1" ref="B10" ca="1">INDEX(Showtimes_Master!$A$2:$A$11, RANDBETWEEN(1, 10))</f>
        <v>ST010</v>
      </c>
      <c r="C10" s="16" t="str">
        <f ca="1">VLOOKUP(B10, Showtimes_Master!$A$2:$E$11, 2, 0)</f>
        <v>Kungfu Panda 4</v>
      </c>
      <c r="D10" s="16" t="str">
        <f ca="1">VLOOKUP(B10, Showtimes_Master!$A$2:$E$11, 3, 0)</f>
        <v>Beta Quang Trung</v>
      </c>
      <c r="E10" s="16">
        <f ca="1">VLOOKUP(B10,Showtimes_Master!$A$2:$E$11, 5, 0)</f>
        <v>150</v>
      </c>
      <c r="F10" s="16">
        <f t="shared" ca="1" si="0"/>
        <v>116</v>
      </c>
      <c r="G10" s="16">
        <f t="shared" ca="1" si="1"/>
        <v>85000</v>
      </c>
      <c r="H10" s="17">
        <f t="shared" ca="1" si="2"/>
        <v>9860000</v>
      </c>
      <c r="I10" s="14">
        <f t="shared" ca="1" si="3"/>
        <v>0.77333333333333332</v>
      </c>
    </row>
    <row r="11" spans="1:9" x14ac:dyDescent="0.2">
      <c r="A11" s="20">
        <v>46001</v>
      </c>
      <c r="B11" s="16" t="str" cm="1">
        <f t="array" aca="1" ref="B11" ca="1">INDEX(Showtimes_Master!$A$2:$A$11, RANDBETWEEN(1, 10))</f>
        <v>ST005</v>
      </c>
      <c r="C11" s="16" t="str">
        <f ca="1">VLOOKUP(B11, Showtimes_Master!$A$2:$E$11, 2, 0)</f>
        <v>Đào, Phở và Piano</v>
      </c>
      <c r="D11" s="16" t="str">
        <f ca="1">VLOOKUP(B11, Showtimes_Master!$A$2:$E$11, 3, 0)</f>
        <v>Beta Ung Văn Khiêm</v>
      </c>
      <c r="E11" s="16">
        <f ca="1">VLOOKUP(B11,Showtimes_Master!$A$2:$E$11, 5, 0)</f>
        <v>120</v>
      </c>
      <c r="F11" s="16">
        <f t="shared" ca="1" si="0"/>
        <v>103</v>
      </c>
      <c r="G11" s="16">
        <f t="shared" ca="1" si="1"/>
        <v>75000</v>
      </c>
      <c r="H11" s="17">
        <f t="shared" ca="1" si="2"/>
        <v>7725000</v>
      </c>
      <c r="I11" s="14">
        <f t="shared" ca="1" si="3"/>
        <v>0.85833333333333328</v>
      </c>
    </row>
    <row r="12" spans="1:9" x14ac:dyDescent="0.2">
      <c r="A12" s="20">
        <v>46002</v>
      </c>
      <c r="B12" s="16" t="str" cm="1">
        <f t="array" aca="1" ref="B12" ca="1">INDEX(Showtimes_Master!$A$2:$A$11, RANDBETWEEN(1, 10))</f>
        <v>ST005</v>
      </c>
      <c r="C12" s="16" t="str">
        <f ca="1">VLOOKUP(B12, Showtimes_Master!$A$2:$E$11, 2, 0)</f>
        <v>Đào, Phở và Piano</v>
      </c>
      <c r="D12" s="16" t="str">
        <f ca="1">VLOOKUP(B12, Showtimes_Master!$A$2:$E$11, 3, 0)</f>
        <v>Beta Ung Văn Khiêm</v>
      </c>
      <c r="E12" s="16">
        <f ca="1">VLOOKUP(B12,Showtimes_Master!$A$2:$E$11, 5, 0)</f>
        <v>120</v>
      </c>
      <c r="F12" s="16">
        <f t="shared" ca="1" si="0"/>
        <v>64</v>
      </c>
      <c r="G12" s="16">
        <f t="shared" ca="1" si="1"/>
        <v>75000</v>
      </c>
      <c r="H12" s="17">
        <f t="shared" ca="1" si="2"/>
        <v>4800000</v>
      </c>
      <c r="I12" s="14">
        <f t="shared" ca="1" si="3"/>
        <v>0.53333333333333333</v>
      </c>
    </row>
    <row r="13" spans="1:9" x14ac:dyDescent="0.2">
      <c r="A13" s="20">
        <v>46003</v>
      </c>
      <c r="B13" s="16" t="str" cm="1">
        <f t="array" aca="1" ref="B13" ca="1">INDEX(Showtimes_Master!$A$2:$A$11, RANDBETWEEN(1, 10))</f>
        <v>ST009</v>
      </c>
      <c r="C13" s="16" t="str">
        <f ca="1">VLOOKUP(B13, Showtimes_Master!$A$2:$E$11, 2, 0)</f>
        <v>Dune: Part Two</v>
      </c>
      <c r="D13" s="16" t="str">
        <f ca="1">VLOOKUP(B13, Showtimes_Master!$A$2:$E$11, 3, 0)</f>
        <v>Beta Bình Thạnh</v>
      </c>
      <c r="E13" s="16">
        <f ca="1">VLOOKUP(B13,Showtimes_Master!$A$2:$E$11, 5, 0)</f>
        <v>120</v>
      </c>
      <c r="F13" s="16">
        <f t="shared" ca="1" si="0"/>
        <v>88</v>
      </c>
      <c r="G13" s="16">
        <f t="shared" ca="1" si="1"/>
        <v>75000</v>
      </c>
      <c r="H13" s="17">
        <f t="shared" ca="1" si="2"/>
        <v>6600000</v>
      </c>
      <c r="I13" s="14">
        <f t="shared" ca="1" si="3"/>
        <v>0.73333333333333328</v>
      </c>
    </row>
    <row r="14" spans="1:9" x14ac:dyDescent="0.2">
      <c r="A14" s="20">
        <v>46004</v>
      </c>
      <c r="B14" s="16" t="str" cm="1">
        <f t="array" aca="1" ref="B14" ca="1">INDEX(Showtimes_Master!$A$2:$A$11, RANDBETWEEN(1, 10))</f>
        <v>ST010</v>
      </c>
      <c r="C14" s="16" t="str">
        <f ca="1">VLOOKUP(B14, Showtimes_Master!$A$2:$E$11, 2, 0)</f>
        <v>Kungfu Panda 4</v>
      </c>
      <c r="D14" s="16" t="str">
        <f ca="1">VLOOKUP(B14, Showtimes_Master!$A$2:$E$11, 3, 0)</f>
        <v>Beta Quang Trung</v>
      </c>
      <c r="E14" s="16">
        <f ca="1">VLOOKUP(B14,Showtimes_Master!$A$2:$E$11, 5, 0)</f>
        <v>150</v>
      </c>
      <c r="F14" s="16">
        <f t="shared" ca="1" si="0"/>
        <v>100</v>
      </c>
      <c r="G14" s="16">
        <f t="shared" ca="1" si="1"/>
        <v>75000</v>
      </c>
      <c r="H14" s="17">
        <f t="shared" ca="1" si="2"/>
        <v>7500000</v>
      </c>
      <c r="I14" s="14">
        <f t="shared" ca="1" si="3"/>
        <v>0.66666666666666663</v>
      </c>
    </row>
    <row r="15" spans="1:9" x14ac:dyDescent="0.2">
      <c r="A15" s="20">
        <v>46005</v>
      </c>
      <c r="B15" s="16" t="str" cm="1">
        <f t="array" aca="1" ref="B15" ca="1">INDEX(Showtimes_Master!$A$2:$A$11, RANDBETWEEN(1, 10))</f>
        <v>ST004</v>
      </c>
      <c r="C15" s="16" t="str">
        <f ca="1">VLOOKUP(B15, Showtimes_Master!$A$2:$E$11, 2, 0)</f>
        <v>Kungfu Panda 4</v>
      </c>
      <c r="D15" s="16" t="str">
        <f ca="1">VLOOKUP(B15, Showtimes_Master!$A$2:$E$11, 3, 0)</f>
        <v>Beta Thái Nguyên</v>
      </c>
      <c r="E15" s="16">
        <f ca="1">VLOOKUP(B15,Showtimes_Master!$A$2:$E$11, 5, 0)</f>
        <v>100</v>
      </c>
      <c r="F15" s="16">
        <f t="shared" ca="1" si="0"/>
        <v>51</v>
      </c>
      <c r="G15" s="16">
        <f t="shared" ca="1" si="1"/>
        <v>75000</v>
      </c>
      <c r="H15" s="17">
        <f t="shared" ca="1" si="2"/>
        <v>3825000</v>
      </c>
      <c r="I15" s="14">
        <f t="shared" ca="1" si="3"/>
        <v>0.51</v>
      </c>
    </row>
    <row r="16" spans="1:9" x14ac:dyDescent="0.2">
      <c r="A16" s="20">
        <v>46006</v>
      </c>
      <c r="B16" s="16" t="str" cm="1">
        <f t="array" aca="1" ref="B16" ca="1">INDEX(Showtimes_Master!$A$2:$A$11, RANDBETWEEN(1, 10))</f>
        <v>ST008</v>
      </c>
      <c r="C16" s="16" t="str">
        <f ca="1">VLOOKUP(B16, Showtimes_Master!$A$2:$E$11, 2, 0)</f>
        <v>Mai</v>
      </c>
      <c r="D16" s="16" t="str">
        <f ca="1">VLOOKUP(B16, Showtimes_Master!$A$2:$E$11, 3, 0)</f>
        <v>Beta Thái Nguyên</v>
      </c>
      <c r="E16" s="16">
        <f ca="1">VLOOKUP(B16,Showtimes_Master!$A$2:$E$11, 5, 0)</f>
        <v>100</v>
      </c>
      <c r="F16" s="16">
        <f t="shared" ca="1" si="0"/>
        <v>65</v>
      </c>
      <c r="G16" s="16">
        <f t="shared" ca="1" si="1"/>
        <v>120000</v>
      </c>
      <c r="H16" s="17">
        <f t="shared" ca="1" si="2"/>
        <v>7800000</v>
      </c>
      <c r="I16" s="14">
        <f t="shared" ca="1" si="3"/>
        <v>0.65</v>
      </c>
    </row>
    <row r="17" spans="1:9" x14ac:dyDescent="0.2">
      <c r="A17" s="20">
        <v>46007</v>
      </c>
      <c r="B17" s="16" t="str" cm="1">
        <f t="array" aca="1" ref="B17" ca="1">INDEX(Showtimes_Master!$A$2:$A$11, RANDBETWEEN(1, 10))</f>
        <v>ST009</v>
      </c>
      <c r="C17" s="16" t="str">
        <f ca="1">VLOOKUP(B17, Showtimes_Master!$A$2:$E$11, 2, 0)</f>
        <v>Dune: Part Two</v>
      </c>
      <c r="D17" s="16" t="str">
        <f ca="1">VLOOKUP(B17, Showtimes_Master!$A$2:$E$11, 3, 0)</f>
        <v>Beta Bình Thạnh</v>
      </c>
      <c r="E17" s="16">
        <f ca="1">VLOOKUP(B17,Showtimes_Master!$A$2:$E$11, 5, 0)</f>
        <v>120</v>
      </c>
      <c r="F17" s="16">
        <f t="shared" ca="1" si="0"/>
        <v>100</v>
      </c>
      <c r="G17" s="16">
        <f t="shared" ca="1" si="1"/>
        <v>120000</v>
      </c>
      <c r="H17" s="17">
        <f t="shared" ca="1" si="2"/>
        <v>12000000</v>
      </c>
      <c r="I17" s="14">
        <f t="shared" ca="1" si="3"/>
        <v>0.83333333333333337</v>
      </c>
    </row>
    <row r="18" spans="1:9" x14ac:dyDescent="0.2">
      <c r="A18" s="20">
        <v>46008</v>
      </c>
      <c r="B18" s="16" t="str" cm="1">
        <f t="array" aca="1" ref="B18" ca="1">INDEX(Showtimes_Master!$A$2:$A$11, RANDBETWEEN(1, 10))</f>
        <v>ST004</v>
      </c>
      <c r="C18" s="16" t="str">
        <f ca="1">VLOOKUP(B18, Showtimes_Master!$A$2:$E$11, 2, 0)</f>
        <v>Kungfu Panda 4</v>
      </c>
      <c r="D18" s="16" t="str">
        <f ca="1">VLOOKUP(B18, Showtimes_Master!$A$2:$E$11, 3, 0)</f>
        <v>Beta Thái Nguyên</v>
      </c>
      <c r="E18" s="16">
        <f ca="1">VLOOKUP(B18,Showtimes_Master!$A$2:$E$11, 5, 0)</f>
        <v>100</v>
      </c>
      <c r="F18" s="16">
        <f t="shared" ca="1" si="0"/>
        <v>65</v>
      </c>
      <c r="G18" s="16">
        <f t="shared" ca="1" si="1"/>
        <v>85000</v>
      </c>
      <c r="H18" s="17">
        <f t="shared" ca="1" si="2"/>
        <v>5525000</v>
      </c>
      <c r="I18" s="14">
        <f t="shared" ca="1" si="3"/>
        <v>0.65</v>
      </c>
    </row>
    <row r="19" spans="1:9" x14ac:dyDescent="0.2">
      <c r="A19" s="20">
        <v>46009</v>
      </c>
      <c r="B19" s="16" t="str" cm="1">
        <f t="array" aca="1" ref="B19" ca="1">INDEX(Showtimes_Master!$A$2:$A$11, RANDBETWEEN(1, 10))</f>
        <v>ST007</v>
      </c>
      <c r="C19" s="16" t="str">
        <f ca="1">VLOOKUP(B19, Showtimes_Master!$A$2:$E$11, 2, 0)</f>
        <v>Godzilla x Kong</v>
      </c>
      <c r="D19" s="16" t="str">
        <f ca="1">VLOOKUP(B19, Showtimes_Master!$A$2:$E$11, 3, 0)</f>
        <v>Beta Quang Trung</v>
      </c>
      <c r="E19" s="16">
        <f ca="1">VLOOKUP(B19,Showtimes_Master!$A$2:$E$11, 5, 0)</f>
        <v>150</v>
      </c>
      <c r="F19" s="16">
        <f t="shared" ca="1" si="0"/>
        <v>107</v>
      </c>
      <c r="G19" s="16">
        <f t="shared" ca="1" si="1"/>
        <v>85000</v>
      </c>
      <c r="H19" s="17">
        <f t="shared" ca="1" si="2"/>
        <v>9095000</v>
      </c>
      <c r="I19" s="14">
        <f t="shared" ca="1" si="3"/>
        <v>0.71333333333333337</v>
      </c>
    </row>
    <row r="20" spans="1:9" x14ac:dyDescent="0.2">
      <c r="A20" s="20">
        <v>46010</v>
      </c>
      <c r="B20" s="16" t="str" cm="1">
        <f t="array" aca="1" ref="B20" ca="1">INDEX(Showtimes_Master!$A$2:$A$11, RANDBETWEEN(1, 10))</f>
        <v>ST009</v>
      </c>
      <c r="C20" s="16" t="str">
        <f ca="1">VLOOKUP(B20, Showtimes_Master!$A$2:$E$11, 2, 0)</f>
        <v>Dune: Part Two</v>
      </c>
      <c r="D20" s="16" t="str">
        <f ca="1">VLOOKUP(B20, Showtimes_Master!$A$2:$E$11, 3, 0)</f>
        <v>Beta Bình Thạnh</v>
      </c>
      <c r="E20" s="16">
        <f ca="1">VLOOKUP(B20,Showtimes_Master!$A$2:$E$11, 5, 0)</f>
        <v>120</v>
      </c>
      <c r="F20" s="16">
        <f t="shared" ca="1" si="0"/>
        <v>72</v>
      </c>
      <c r="G20" s="16">
        <f t="shared" ca="1" si="1"/>
        <v>85000</v>
      </c>
      <c r="H20" s="17">
        <f t="shared" ca="1" si="2"/>
        <v>6120000</v>
      </c>
      <c r="I20" s="14">
        <f t="shared" ca="1" si="3"/>
        <v>0.6</v>
      </c>
    </row>
    <row r="21" spans="1:9" x14ac:dyDescent="0.2">
      <c r="A21" s="20">
        <v>46011</v>
      </c>
      <c r="B21" s="16" t="str" cm="1">
        <f t="array" aca="1" ref="B21" ca="1">INDEX(Showtimes_Master!$A$2:$A$11, RANDBETWEEN(1, 10))</f>
        <v>ST008</v>
      </c>
      <c r="C21" s="16" t="str">
        <f ca="1">VLOOKUP(B21, Showtimes_Master!$A$2:$E$11, 2, 0)</f>
        <v>Mai</v>
      </c>
      <c r="D21" s="16" t="str">
        <f ca="1">VLOOKUP(B21, Showtimes_Master!$A$2:$E$11, 3, 0)</f>
        <v>Beta Thái Nguyên</v>
      </c>
      <c r="E21" s="16">
        <f ca="1">VLOOKUP(B21,Showtimes_Master!$A$2:$E$11, 5, 0)</f>
        <v>100</v>
      </c>
      <c r="F21" s="16">
        <f t="shared" ca="1" si="0"/>
        <v>84</v>
      </c>
      <c r="G21" s="16">
        <f t="shared" ca="1" si="1"/>
        <v>75000</v>
      </c>
      <c r="H21" s="17">
        <f t="shared" ca="1" si="2"/>
        <v>6300000</v>
      </c>
      <c r="I21" s="14">
        <f t="shared" ca="1" si="3"/>
        <v>0.84</v>
      </c>
    </row>
    <row r="22" spans="1:9" x14ac:dyDescent="0.2">
      <c r="A22" s="20">
        <v>46012</v>
      </c>
      <c r="B22" s="16" t="str" cm="1">
        <f t="array" aca="1" ref="B22" ca="1">INDEX(Showtimes_Master!$A$2:$A$11, RANDBETWEEN(1, 10))</f>
        <v>ST008</v>
      </c>
      <c r="C22" s="16" t="str">
        <f ca="1">VLOOKUP(B22, Showtimes_Master!$A$2:$E$11, 2, 0)</f>
        <v>Mai</v>
      </c>
      <c r="D22" s="16" t="str">
        <f ca="1">VLOOKUP(B22, Showtimes_Master!$A$2:$E$11, 3, 0)</f>
        <v>Beta Thái Nguyên</v>
      </c>
      <c r="E22" s="16">
        <f ca="1">VLOOKUP(B22,Showtimes_Master!$A$2:$E$11, 5, 0)</f>
        <v>100</v>
      </c>
      <c r="F22" s="16">
        <f t="shared" ca="1" si="0"/>
        <v>85</v>
      </c>
      <c r="G22" s="16">
        <f t="shared" ca="1" si="1"/>
        <v>75000</v>
      </c>
      <c r="H22" s="17">
        <f t="shared" ca="1" si="2"/>
        <v>6375000</v>
      </c>
      <c r="I22" s="14">
        <f t="shared" ca="1" si="3"/>
        <v>0.85</v>
      </c>
    </row>
    <row r="23" spans="1:9" x14ac:dyDescent="0.2">
      <c r="A23" s="20">
        <v>46013</v>
      </c>
      <c r="B23" s="16" t="str" cm="1">
        <f t="array" aca="1" ref="B23" ca="1">INDEX(Showtimes_Master!$A$2:$A$11, RANDBETWEEN(1, 10))</f>
        <v>ST008</v>
      </c>
      <c r="C23" s="16" t="str">
        <f ca="1">VLOOKUP(B23, Showtimes_Master!$A$2:$E$11, 2, 0)</f>
        <v>Mai</v>
      </c>
      <c r="D23" s="16" t="str">
        <f ca="1">VLOOKUP(B23, Showtimes_Master!$A$2:$E$11, 3, 0)</f>
        <v>Beta Thái Nguyên</v>
      </c>
      <c r="E23" s="16">
        <f ca="1">VLOOKUP(B23,Showtimes_Master!$A$2:$E$11, 5, 0)</f>
        <v>100</v>
      </c>
      <c r="F23" s="16">
        <f t="shared" ca="1" si="0"/>
        <v>83</v>
      </c>
      <c r="G23" s="16">
        <f t="shared" ca="1" si="1"/>
        <v>90000</v>
      </c>
      <c r="H23" s="17">
        <f t="shared" ca="1" si="2"/>
        <v>7470000</v>
      </c>
      <c r="I23" s="14">
        <f t="shared" ca="1" si="3"/>
        <v>0.83</v>
      </c>
    </row>
    <row r="24" spans="1:9" x14ac:dyDescent="0.2">
      <c r="A24" s="20">
        <v>46014</v>
      </c>
      <c r="B24" s="16" t="str" cm="1">
        <f t="array" aca="1" ref="B24" ca="1">INDEX(Showtimes_Master!$A$2:$A$11, RANDBETWEEN(1, 10))</f>
        <v>ST002</v>
      </c>
      <c r="C24" s="16" t="str">
        <f ca="1">VLOOKUP(B24, Showtimes_Master!$A$2:$E$11, 2, 0)</f>
        <v>Mai</v>
      </c>
      <c r="D24" s="16" t="str">
        <f ca="1">VLOOKUP(B24, Showtimes_Master!$A$2:$E$11, 3, 0)</f>
        <v>Beta Bình Thạnh</v>
      </c>
      <c r="E24" s="16">
        <f ca="1">VLOOKUP(B24,Showtimes_Master!$A$2:$E$11, 5, 0)</f>
        <v>120</v>
      </c>
      <c r="F24" s="16">
        <f t="shared" ca="1" si="0"/>
        <v>78</v>
      </c>
      <c r="G24" s="16">
        <f t="shared" ca="1" si="1"/>
        <v>85000</v>
      </c>
      <c r="H24" s="17">
        <f t="shared" ca="1" si="2"/>
        <v>6630000</v>
      </c>
      <c r="I24" s="14">
        <f t="shared" ca="1" si="3"/>
        <v>0.65</v>
      </c>
    </row>
    <row r="25" spans="1:9" x14ac:dyDescent="0.2">
      <c r="A25" s="20">
        <v>46015</v>
      </c>
      <c r="B25" s="16" t="str" cm="1">
        <f t="array" aca="1" ref="B25" ca="1">INDEX(Showtimes_Master!$A$2:$A$11, RANDBETWEEN(1, 10))</f>
        <v>ST001</v>
      </c>
      <c r="C25" s="16" t="str">
        <f ca="1">VLOOKUP(B25, Showtimes_Master!$A$2:$E$11, 2, 0)</f>
        <v>Mai</v>
      </c>
      <c r="D25" s="16" t="str">
        <f ca="1">VLOOKUP(B25, Showtimes_Master!$A$2:$E$11, 3, 0)</f>
        <v>Beta Quang Trung</v>
      </c>
      <c r="E25" s="16">
        <f ca="1">VLOOKUP(B25,Showtimes_Master!$A$2:$E$11, 5, 0)</f>
        <v>150</v>
      </c>
      <c r="F25" s="16">
        <f t="shared" ca="1" si="0"/>
        <v>111</v>
      </c>
      <c r="G25" s="16">
        <f t="shared" ca="1" si="1"/>
        <v>120000</v>
      </c>
      <c r="H25" s="17">
        <f t="shared" ca="1" si="2"/>
        <v>13320000</v>
      </c>
      <c r="I25" s="14">
        <f t="shared" ca="1" si="3"/>
        <v>0.74</v>
      </c>
    </row>
    <row r="26" spans="1:9" x14ac:dyDescent="0.2">
      <c r="A26" s="20">
        <v>46016</v>
      </c>
      <c r="B26" s="16" t="str" cm="1">
        <f t="array" aca="1" ref="B26" ca="1">INDEX(Showtimes_Master!$A$2:$A$11, RANDBETWEEN(1, 10))</f>
        <v>ST001</v>
      </c>
      <c r="C26" s="16" t="str">
        <f ca="1">VLOOKUP(B26, Showtimes_Master!$A$2:$E$11, 2, 0)</f>
        <v>Mai</v>
      </c>
      <c r="D26" s="16" t="str">
        <f ca="1">VLOOKUP(B26, Showtimes_Master!$A$2:$E$11, 3, 0)</f>
        <v>Beta Quang Trung</v>
      </c>
      <c r="E26" s="16">
        <f ca="1">VLOOKUP(B26,Showtimes_Master!$A$2:$E$11, 5, 0)</f>
        <v>150</v>
      </c>
      <c r="F26" s="16">
        <f t="shared" ca="1" si="0"/>
        <v>129</v>
      </c>
      <c r="G26" s="16">
        <f t="shared" ca="1" si="1"/>
        <v>75000</v>
      </c>
      <c r="H26" s="17">
        <f t="shared" ca="1" si="2"/>
        <v>9675000</v>
      </c>
      <c r="I26" s="14">
        <f t="shared" ca="1" si="3"/>
        <v>0.86</v>
      </c>
    </row>
    <row r="27" spans="1:9" x14ac:dyDescent="0.2">
      <c r="A27" s="20">
        <v>46017</v>
      </c>
      <c r="B27" s="16" t="str" cm="1">
        <f t="array" aca="1" ref="B27" ca="1">INDEX(Showtimes_Master!$A$2:$A$11, RANDBETWEEN(1, 10))</f>
        <v>ST009</v>
      </c>
      <c r="C27" s="16" t="str">
        <f ca="1">VLOOKUP(B27, Showtimes_Master!$A$2:$E$11, 2, 0)</f>
        <v>Dune: Part Two</v>
      </c>
      <c r="D27" s="16" t="str">
        <f ca="1">VLOOKUP(B27, Showtimes_Master!$A$2:$E$11, 3, 0)</f>
        <v>Beta Bình Thạnh</v>
      </c>
      <c r="E27" s="16">
        <f ca="1">VLOOKUP(B27,Showtimes_Master!$A$2:$E$11, 5, 0)</f>
        <v>120</v>
      </c>
      <c r="F27" s="16">
        <f t="shared" ca="1" si="0"/>
        <v>61</v>
      </c>
      <c r="G27" s="16">
        <f t="shared" ca="1" si="1"/>
        <v>85000</v>
      </c>
      <c r="H27" s="17">
        <f t="shared" ca="1" si="2"/>
        <v>5185000</v>
      </c>
      <c r="I27" s="14">
        <f t="shared" ca="1" si="3"/>
        <v>0.5083333333333333</v>
      </c>
    </row>
    <row r="28" spans="1:9" x14ac:dyDescent="0.2">
      <c r="A28" s="20">
        <v>46018</v>
      </c>
      <c r="B28" s="16" t="str" cm="1">
        <f t="array" aca="1" ref="B28" ca="1">INDEX(Showtimes_Master!$A$2:$A$11, RANDBETWEEN(1, 10))</f>
        <v>ST001</v>
      </c>
      <c r="C28" s="16" t="str">
        <f ca="1">VLOOKUP(B28, Showtimes_Master!$A$2:$E$11, 2, 0)</f>
        <v>Mai</v>
      </c>
      <c r="D28" s="16" t="str">
        <f ca="1">VLOOKUP(B28, Showtimes_Master!$A$2:$E$11, 3, 0)</f>
        <v>Beta Quang Trung</v>
      </c>
      <c r="E28" s="16">
        <f ca="1">VLOOKUP(B28,Showtimes_Master!$A$2:$E$11, 5, 0)</f>
        <v>150</v>
      </c>
      <c r="F28" s="16">
        <f t="shared" ca="1" si="0"/>
        <v>72</v>
      </c>
      <c r="G28" s="16">
        <f t="shared" ca="1" si="1"/>
        <v>120000</v>
      </c>
      <c r="H28" s="17">
        <f t="shared" ca="1" si="2"/>
        <v>8640000</v>
      </c>
      <c r="I28" s="14">
        <f t="shared" ca="1" si="3"/>
        <v>0.48</v>
      </c>
    </row>
    <row r="29" spans="1:9" x14ac:dyDescent="0.2">
      <c r="A29" s="20">
        <v>46019</v>
      </c>
      <c r="B29" s="16" t="str" cm="1">
        <f t="array" aca="1" ref="B29" ca="1">INDEX(Showtimes_Master!$A$2:$A$11, RANDBETWEEN(1, 10))</f>
        <v>ST006</v>
      </c>
      <c r="C29" s="16" t="str">
        <f ca="1">VLOOKUP(B29, Showtimes_Master!$A$2:$E$11, 2, 0)</f>
        <v>Gặp Lại Chị Bầu</v>
      </c>
      <c r="D29" s="16" t="str">
        <f ca="1">VLOOKUP(B29, Showtimes_Master!$A$2:$E$11, 3, 0)</f>
        <v>Beta Tân Uyên</v>
      </c>
      <c r="E29" s="16">
        <f ca="1">VLOOKUP(B29,Showtimes_Master!$A$2:$E$11, 5, 0)</f>
        <v>150</v>
      </c>
      <c r="F29" s="16">
        <f t="shared" ca="1" si="0"/>
        <v>77</v>
      </c>
      <c r="G29" s="16">
        <f t="shared" ca="1" si="1"/>
        <v>120000</v>
      </c>
      <c r="H29" s="17">
        <f t="shared" ca="1" si="2"/>
        <v>9240000</v>
      </c>
      <c r="I29" s="14">
        <f t="shared" ca="1" si="3"/>
        <v>0.51333333333333331</v>
      </c>
    </row>
    <row r="30" spans="1:9" x14ac:dyDescent="0.2">
      <c r="A30" s="20">
        <v>46020</v>
      </c>
      <c r="B30" s="16" t="str" cm="1">
        <f t="array" aca="1" ref="B30" ca="1">INDEX(Showtimes_Master!$A$2:$A$11, RANDBETWEEN(1, 10))</f>
        <v>ST008</v>
      </c>
      <c r="C30" s="16" t="str">
        <f ca="1">VLOOKUP(B30, Showtimes_Master!$A$2:$E$11, 2, 0)</f>
        <v>Mai</v>
      </c>
      <c r="D30" s="16" t="str">
        <f ca="1">VLOOKUP(B30, Showtimes_Master!$A$2:$E$11, 3, 0)</f>
        <v>Beta Thái Nguyên</v>
      </c>
      <c r="E30" s="16">
        <f ca="1">VLOOKUP(B30,Showtimes_Master!$A$2:$E$11, 5, 0)</f>
        <v>100</v>
      </c>
      <c r="F30" s="16">
        <f t="shared" ca="1" si="0"/>
        <v>98</v>
      </c>
      <c r="G30" s="16">
        <f t="shared" ca="1" si="1"/>
        <v>120000</v>
      </c>
      <c r="H30" s="17">
        <f t="shared" ca="1" si="2"/>
        <v>11760000</v>
      </c>
      <c r="I30" s="14">
        <f t="shared" ca="1" si="3"/>
        <v>0.98</v>
      </c>
    </row>
    <row r="31" spans="1:9" x14ac:dyDescent="0.2">
      <c r="A31" s="20">
        <v>46021</v>
      </c>
      <c r="B31" s="16" t="str" cm="1">
        <f t="array" aca="1" ref="B31" ca="1">INDEX(Showtimes_Master!$A$2:$A$11, RANDBETWEEN(1, 10))</f>
        <v>ST006</v>
      </c>
      <c r="C31" s="16" t="str">
        <f ca="1">VLOOKUP(B31, Showtimes_Master!$A$2:$E$11, 2, 0)</f>
        <v>Gặp Lại Chị Bầu</v>
      </c>
      <c r="D31" s="16" t="str">
        <f ca="1">VLOOKUP(B31, Showtimes_Master!$A$2:$E$11, 3, 0)</f>
        <v>Beta Tân Uyên</v>
      </c>
      <c r="E31" s="16">
        <f ca="1">VLOOKUP(B31,Showtimes_Master!$A$2:$E$11, 5, 0)</f>
        <v>150</v>
      </c>
      <c r="F31" s="16">
        <f t="shared" ca="1" si="0"/>
        <v>66</v>
      </c>
      <c r="G31" s="16">
        <f t="shared" ca="1" si="1"/>
        <v>90000</v>
      </c>
      <c r="H31" s="17">
        <f t="shared" ca="1" si="2"/>
        <v>5940000</v>
      </c>
      <c r="I31" s="14">
        <f t="shared" ca="1" si="3"/>
        <v>0.44</v>
      </c>
    </row>
    <row r="32" spans="1:9" x14ac:dyDescent="0.2">
      <c r="A32" s="20">
        <v>46022</v>
      </c>
      <c r="B32" s="16" t="str" cm="1">
        <f t="array" aca="1" ref="B32" ca="1">INDEX(Showtimes_Master!$A$2:$A$11, RANDBETWEEN(1, 10))</f>
        <v>ST001</v>
      </c>
      <c r="C32" s="16" t="str">
        <f ca="1">VLOOKUP(B32, Showtimes_Master!$A$2:$E$11, 2, 0)</f>
        <v>Mai</v>
      </c>
      <c r="D32" s="16" t="str">
        <f ca="1">VLOOKUP(B32, Showtimes_Master!$A$2:$E$11, 3, 0)</f>
        <v>Beta Quang Trung</v>
      </c>
      <c r="E32" s="16">
        <f ca="1">VLOOKUP(B32,Showtimes_Master!$A$2:$E$11, 5, 0)</f>
        <v>150</v>
      </c>
      <c r="F32" s="16">
        <f t="shared" ca="1" si="0"/>
        <v>99</v>
      </c>
      <c r="G32" s="16">
        <f t="shared" ca="1" si="1"/>
        <v>85000</v>
      </c>
      <c r="H32" s="17">
        <f t="shared" ca="1" si="2"/>
        <v>8415000</v>
      </c>
      <c r="I32" s="14">
        <f t="shared" ca="1" si="3"/>
        <v>0.66</v>
      </c>
    </row>
    <row r="33" spans="1:9" x14ac:dyDescent="0.2">
      <c r="A33" s="20">
        <v>46023</v>
      </c>
      <c r="B33" s="16" t="str" cm="1">
        <f t="array" aca="1" ref="B33" ca="1">INDEX(Showtimes_Master!$A$2:$A$11, RANDBETWEEN(1, 10))</f>
        <v>ST004</v>
      </c>
      <c r="C33" s="16" t="str">
        <f ca="1">VLOOKUP(B33, Showtimes_Master!$A$2:$E$11, 2, 0)</f>
        <v>Kungfu Panda 4</v>
      </c>
      <c r="D33" s="16" t="str">
        <f ca="1">VLOOKUP(B33, Showtimes_Master!$A$2:$E$11, 3, 0)</f>
        <v>Beta Thái Nguyên</v>
      </c>
      <c r="E33" s="16">
        <f ca="1">VLOOKUP(B33,Showtimes_Master!$A$2:$E$11, 5, 0)</f>
        <v>100</v>
      </c>
      <c r="F33" s="16">
        <f t="shared" ca="1" si="0"/>
        <v>58</v>
      </c>
      <c r="G33" s="16">
        <f t="shared" ca="1" si="1"/>
        <v>85000</v>
      </c>
      <c r="H33" s="17">
        <f t="shared" ca="1" si="2"/>
        <v>4930000</v>
      </c>
      <c r="I33" s="14">
        <f t="shared" ca="1" si="3"/>
        <v>0.57999999999999996</v>
      </c>
    </row>
    <row r="34" spans="1:9" x14ac:dyDescent="0.2">
      <c r="A34" s="20">
        <v>46024</v>
      </c>
      <c r="B34" s="16" t="str" cm="1">
        <f t="array" aca="1" ref="B34" ca="1">INDEX(Showtimes_Master!$A$2:$A$11, RANDBETWEEN(1, 10))</f>
        <v>ST007</v>
      </c>
      <c r="C34" s="16" t="str">
        <f ca="1">VLOOKUP(B34, Showtimes_Master!$A$2:$E$11, 2, 0)</f>
        <v>Godzilla x Kong</v>
      </c>
      <c r="D34" s="16" t="str">
        <f ca="1">VLOOKUP(B34, Showtimes_Master!$A$2:$E$11, 3, 0)</f>
        <v>Beta Quang Trung</v>
      </c>
      <c r="E34" s="16">
        <f ca="1">VLOOKUP(B34,Showtimes_Master!$A$2:$E$11, 5, 0)</f>
        <v>150</v>
      </c>
      <c r="F34" s="16">
        <f t="shared" ca="1" si="0"/>
        <v>57</v>
      </c>
      <c r="G34" s="16">
        <f t="shared" ca="1" si="1"/>
        <v>75000</v>
      </c>
      <c r="H34" s="17">
        <f t="shared" ca="1" si="2"/>
        <v>4275000</v>
      </c>
      <c r="I34" s="14">
        <f t="shared" ca="1" si="3"/>
        <v>0.38</v>
      </c>
    </row>
    <row r="35" spans="1:9" x14ac:dyDescent="0.2">
      <c r="A35" s="20">
        <v>46025</v>
      </c>
      <c r="B35" s="16" t="str" cm="1">
        <f t="array" aca="1" ref="B35" ca="1">INDEX(Showtimes_Master!$A$2:$A$11, RANDBETWEEN(1, 10))</f>
        <v>ST003</v>
      </c>
      <c r="C35" s="16" t="str">
        <f ca="1">VLOOKUP(B35, Showtimes_Master!$A$2:$E$11, 2, 0)</f>
        <v>Dune: Part Two</v>
      </c>
      <c r="D35" s="16" t="str">
        <f ca="1">VLOOKUP(B35, Showtimes_Master!$A$2:$E$11, 3, 0)</f>
        <v>Beta Quang Trung</v>
      </c>
      <c r="E35" s="16">
        <f ca="1">VLOOKUP(B35,Showtimes_Master!$A$2:$E$11, 5, 0)</f>
        <v>250</v>
      </c>
      <c r="F35" s="16">
        <f t="shared" ca="1" si="0"/>
        <v>80</v>
      </c>
      <c r="G35" s="16">
        <f t="shared" ca="1" si="1"/>
        <v>90000</v>
      </c>
      <c r="H35" s="17">
        <f t="shared" ca="1" si="2"/>
        <v>7200000</v>
      </c>
      <c r="I35" s="14">
        <f t="shared" ca="1" si="3"/>
        <v>0.32</v>
      </c>
    </row>
    <row r="36" spans="1:9" x14ac:dyDescent="0.2">
      <c r="A36" s="20">
        <v>46026</v>
      </c>
      <c r="B36" s="16" t="str" cm="1">
        <f t="array" aca="1" ref="B36" ca="1">INDEX(Showtimes_Master!$A$2:$A$11, RANDBETWEEN(1, 10))</f>
        <v>ST003</v>
      </c>
      <c r="C36" s="16" t="str">
        <f ca="1">VLOOKUP(B36, Showtimes_Master!$A$2:$E$11, 2, 0)</f>
        <v>Dune: Part Two</v>
      </c>
      <c r="D36" s="16" t="str">
        <f ca="1">VLOOKUP(B36, Showtimes_Master!$A$2:$E$11, 3, 0)</f>
        <v>Beta Quang Trung</v>
      </c>
      <c r="E36" s="16">
        <f ca="1">VLOOKUP(B36,Showtimes_Master!$A$2:$E$11, 5, 0)</f>
        <v>250</v>
      </c>
      <c r="F36" s="16">
        <f t="shared" ca="1" si="0"/>
        <v>211</v>
      </c>
      <c r="G36" s="16">
        <f t="shared" ca="1" si="1"/>
        <v>120000</v>
      </c>
      <c r="H36" s="17">
        <f t="shared" ca="1" si="2"/>
        <v>25320000</v>
      </c>
      <c r="I36" s="14">
        <f t="shared" ca="1" si="3"/>
        <v>0.84399999999999997</v>
      </c>
    </row>
    <row r="37" spans="1:9" x14ac:dyDescent="0.2">
      <c r="A37" s="20">
        <v>46027</v>
      </c>
      <c r="B37" s="16" t="str" cm="1">
        <f t="array" aca="1" ref="B37" ca="1">INDEX(Showtimes_Master!$A$2:$A$11, RANDBETWEEN(1, 10))</f>
        <v>ST001</v>
      </c>
      <c r="C37" s="16" t="str">
        <f ca="1">VLOOKUP(B37, Showtimes_Master!$A$2:$E$11, 2, 0)</f>
        <v>Mai</v>
      </c>
      <c r="D37" s="16" t="str">
        <f ca="1">VLOOKUP(B37, Showtimes_Master!$A$2:$E$11, 3, 0)</f>
        <v>Beta Quang Trung</v>
      </c>
      <c r="E37" s="16">
        <f ca="1">VLOOKUP(B37,Showtimes_Master!$A$2:$E$11, 5, 0)</f>
        <v>150</v>
      </c>
      <c r="F37" s="16">
        <f t="shared" ca="1" si="0"/>
        <v>147</v>
      </c>
      <c r="G37" s="16">
        <f t="shared" ca="1" si="1"/>
        <v>120000</v>
      </c>
      <c r="H37" s="17">
        <f t="shared" ca="1" si="2"/>
        <v>17640000</v>
      </c>
      <c r="I37" s="14">
        <f t="shared" ca="1" si="3"/>
        <v>0.98</v>
      </c>
    </row>
    <row r="38" spans="1:9" x14ac:dyDescent="0.2">
      <c r="A38" s="20">
        <v>46028</v>
      </c>
      <c r="B38" s="16" t="str" cm="1">
        <f t="array" aca="1" ref="B38" ca="1">INDEX(Showtimes_Master!$A$2:$A$11, RANDBETWEEN(1, 10))</f>
        <v>ST006</v>
      </c>
      <c r="C38" s="16" t="str">
        <f ca="1">VLOOKUP(B38, Showtimes_Master!$A$2:$E$11, 2, 0)</f>
        <v>Gặp Lại Chị Bầu</v>
      </c>
      <c r="D38" s="16" t="str">
        <f ca="1">VLOOKUP(B38, Showtimes_Master!$A$2:$E$11, 3, 0)</f>
        <v>Beta Tân Uyên</v>
      </c>
      <c r="E38" s="16">
        <f ca="1">VLOOKUP(B38,Showtimes_Master!$A$2:$E$11, 5, 0)</f>
        <v>150</v>
      </c>
      <c r="F38" s="16">
        <f t="shared" ca="1" si="0"/>
        <v>149</v>
      </c>
      <c r="G38" s="16">
        <f t="shared" ca="1" si="1"/>
        <v>75000</v>
      </c>
      <c r="H38" s="17">
        <f t="shared" ca="1" si="2"/>
        <v>11175000</v>
      </c>
      <c r="I38" s="14">
        <f t="shared" ca="1" si="3"/>
        <v>0.99333333333333329</v>
      </c>
    </row>
    <row r="39" spans="1:9" x14ac:dyDescent="0.2">
      <c r="A39" s="20">
        <v>46029</v>
      </c>
      <c r="B39" s="16" t="str" cm="1">
        <f t="array" aca="1" ref="B39" ca="1">INDEX(Showtimes_Master!$A$2:$A$11, RANDBETWEEN(1, 10))</f>
        <v>ST010</v>
      </c>
      <c r="C39" s="16" t="str">
        <f ca="1">VLOOKUP(B39, Showtimes_Master!$A$2:$E$11, 2, 0)</f>
        <v>Kungfu Panda 4</v>
      </c>
      <c r="D39" s="16" t="str">
        <f ca="1">VLOOKUP(B39, Showtimes_Master!$A$2:$E$11, 3, 0)</f>
        <v>Beta Quang Trung</v>
      </c>
      <c r="E39" s="16">
        <f ca="1">VLOOKUP(B39,Showtimes_Master!$A$2:$E$11, 5, 0)</f>
        <v>150</v>
      </c>
      <c r="F39" s="16">
        <f t="shared" ca="1" si="0"/>
        <v>117</v>
      </c>
      <c r="G39" s="16">
        <f t="shared" ca="1" si="1"/>
        <v>75000</v>
      </c>
      <c r="H39" s="17">
        <f t="shared" ca="1" si="2"/>
        <v>8775000</v>
      </c>
      <c r="I39" s="14">
        <f t="shared" ca="1" si="3"/>
        <v>0.78</v>
      </c>
    </row>
    <row r="40" spans="1:9" x14ac:dyDescent="0.2">
      <c r="A40" s="20">
        <v>46030</v>
      </c>
      <c r="B40" s="16" t="str" cm="1">
        <f t="array" aca="1" ref="B40" ca="1">INDEX(Showtimes_Master!$A$2:$A$11, RANDBETWEEN(1, 10))</f>
        <v>ST005</v>
      </c>
      <c r="C40" s="16" t="str">
        <f ca="1">VLOOKUP(B40, Showtimes_Master!$A$2:$E$11, 2, 0)</f>
        <v>Đào, Phở và Piano</v>
      </c>
      <c r="D40" s="16" t="str">
        <f ca="1">VLOOKUP(B40, Showtimes_Master!$A$2:$E$11, 3, 0)</f>
        <v>Beta Ung Văn Khiêm</v>
      </c>
      <c r="E40" s="16">
        <f ca="1">VLOOKUP(B40,Showtimes_Master!$A$2:$E$11, 5, 0)</f>
        <v>120</v>
      </c>
      <c r="F40" s="16">
        <f t="shared" ca="1" si="0"/>
        <v>93</v>
      </c>
      <c r="G40" s="16">
        <f t="shared" ca="1" si="1"/>
        <v>120000</v>
      </c>
      <c r="H40" s="17">
        <f t="shared" ca="1" si="2"/>
        <v>11160000</v>
      </c>
      <c r="I40" s="14">
        <f t="shared" ca="1" si="3"/>
        <v>0.77500000000000002</v>
      </c>
    </row>
    <row r="41" spans="1:9" x14ac:dyDescent="0.2">
      <c r="A41" s="20">
        <v>46031</v>
      </c>
      <c r="B41" s="16" t="str" cm="1">
        <f t="array" aca="1" ref="B41" ca="1">INDEX(Showtimes_Master!$A$2:$A$11, RANDBETWEEN(1, 10))</f>
        <v>ST005</v>
      </c>
      <c r="C41" s="16" t="str">
        <f ca="1">VLOOKUP(B41, Showtimes_Master!$A$2:$E$11, 2, 0)</f>
        <v>Đào, Phở và Piano</v>
      </c>
      <c r="D41" s="16" t="str">
        <f ca="1">VLOOKUP(B41, Showtimes_Master!$A$2:$E$11, 3, 0)</f>
        <v>Beta Ung Văn Khiêm</v>
      </c>
      <c r="E41" s="16">
        <f ca="1">VLOOKUP(B41,Showtimes_Master!$A$2:$E$11, 5, 0)</f>
        <v>120</v>
      </c>
      <c r="F41" s="16">
        <f t="shared" ca="1" si="0"/>
        <v>114</v>
      </c>
      <c r="G41" s="16">
        <f t="shared" ca="1" si="1"/>
        <v>85000</v>
      </c>
      <c r="H41" s="17">
        <f t="shared" ca="1" si="2"/>
        <v>9690000</v>
      </c>
      <c r="I41" s="14">
        <f t="shared" ca="1" si="3"/>
        <v>0.95</v>
      </c>
    </row>
    <row r="42" spans="1:9" x14ac:dyDescent="0.2">
      <c r="A42" s="20">
        <v>46032</v>
      </c>
      <c r="B42" s="16" t="str" cm="1">
        <f t="array" aca="1" ref="B42" ca="1">INDEX(Showtimes_Master!$A$2:$A$11, RANDBETWEEN(1, 10))</f>
        <v>ST007</v>
      </c>
      <c r="C42" s="16" t="str">
        <f ca="1">VLOOKUP(B42, Showtimes_Master!$A$2:$E$11, 2, 0)</f>
        <v>Godzilla x Kong</v>
      </c>
      <c r="D42" s="16" t="str">
        <f ca="1">VLOOKUP(B42, Showtimes_Master!$A$2:$E$11, 3, 0)</f>
        <v>Beta Quang Trung</v>
      </c>
      <c r="E42" s="16">
        <f ca="1">VLOOKUP(B42,Showtimes_Master!$A$2:$E$11, 5, 0)</f>
        <v>150</v>
      </c>
      <c r="F42" s="16">
        <f t="shared" ca="1" si="0"/>
        <v>114</v>
      </c>
      <c r="G42" s="16">
        <f t="shared" ca="1" si="1"/>
        <v>75000</v>
      </c>
      <c r="H42" s="17">
        <f t="shared" ca="1" si="2"/>
        <v>8550000</v>
      </c>
      <c r="I42" s="14">
        <f t="shared" ca="1" si="3"/>
        <v>0.76</v>
      </c>
    </row>
    <row r="43" spans="1:9" x14ac:dyDescent="0.2">
      <c r="A43" s="20">
        <v>46033</v>
      </c>
      <c r="B43" s="16" t="str" cm="1">
        <f t="array" aca="1" ref="B43" ca="1">INDEX(Showtimes_Master!$A$2:$A$11, RANDBETWEEN(1, 10))</f>
        <v>ST005</v>
      </c>
      <c r="C43" s="16" t="str">
        <f ca="1">VLOOKUP(B43, Showtimes_Master!$A$2:$E$11, 2, 0)</f>
        <v>Đào, Phở và Piano</v>
      </c>
      <c r="D43" s="16" t="str">
        <f ca="1">VLOOKUP(B43, Showtimes_Master!$A$2:$E$11, 3, 0)</f>
        <v>Beta Ung Văn Khiêm</v>
      </c>
      <c r="E43" s="16">
        <f ca="1">VLOOKUP(B43,Showtimes_Master!$A$2:$E$11, 5, 0)</f>
        <v>120</v>
      </c>
      <c r="F43" s="16">
        <f t="shared" ca="1" si="0"/>
        <v>108</v>
      </c>
      <c r="G43" s="16">
        <f t="shared" ca="1" si="1"/>
        <v>90000</v>
      </c>
      <c r="H43" s="17">
        <f t="shared" ca="1" si="2"/>
        <v>9720000</v>
      </c>
      <c r="I43" s="14">
        <f t="shared" ca="1" si="3"/>
        <v>0.9</v>
      </c>
    </row>
    <row r="44" spans="1:9" x14ac:dyDescent="0.2">
      <c r="A44" s="20">
        <v>46034</v>
      </c>
      <c r="B44" s="16" t="str" cm="1">
        <f t="array" aca="1" ref="B44" ca="1">INDEX(Showtimes_Master!$A$2:$A$11, RANDBETWEEN(1, 10))</f>
        <v>ST008</v>
      </c>
      <c r="C44" s="16" t="str">
        <f ca="1">VLOOKUP(B44, Showtimes_Master!$A$2:$E$11, 2, 0)</f>
        <v>Mai</v>
      </c>
      <c r="D44" s="16" t="str">
        <f ca="1">VLOOKUP(B44, Showtimes_Master!$A$2:$E$11, 3, 0)</f>
        <v>Beta Thái Nguyên</v>
      </c>
      <c r="E44" s="16">
        <f ca="1">VLOOKUP(B44,Showtimes_Master!$A$2:$E$11, 5, 0)</f>
        <v>100</v>
      </c>
      <c r="F44" s="16">
        <f t="shared" ca="1" si="0"/>
        <v>75</v>
      </c>
      <c r="G44" s="16">
        <f t="shared" ca="1" si="1"/>
        <v>90000</v>
      </c>
      <c r="H44" s="17">
        <f t="shared" ca="1" si="2"/>
        <v>6750000</v>
      </c>
      <c r="I44" s="14">
        <f t="shared" ca="1" si="3"/>
        <v>0.75</v>
      </c>
    </row>
    <row r="45" spans="1:9" x14ac:dyDescent="0.2">
      <c r="A45" s="20">
        <v>46035</v>
      </c>
      <c r="B45" s="16" t="str" cm="1">
        <f t="array" aca="1" ref="B45" ca="1">INDEX(Showtimes_Master!$A$2:$A$11, RANDBETWEEN(1, 10))</f>
        <v>ST009</v>
      </c>
      <c r="C45" s="16" t="str">
        <f ca="1">VLOOKUP(B45, Showtimes_Master!$A$2:$E$11, 2, 0)</f>
        <v>Dune: Part Two</v>
      </c>
      <c r="D45" s="16" t="str">
        <f ca="1">VLOOKUP(B45, Showtimes_Master!$A$2:$E$11, 3, 0)</f>
        <v>Beta Bình Thạnh</v>
      </c>
      <c r="E45" s="16">
        <f ca="1">VLOOKUP(B45,Showtimes_Master!$A$2:$E$11, 5, 0)</f>
        <v>120</v>
      </c>
      <c r="F45" s="16">
        <f t="shared" ca="1" si="0"/>
        <v>68</v>
      </c>
      <c r="G45" s="16">
        <f t="shared" ca="1" si="1"/>
        <v>120000</v>
      </c>
      <c r="H45" s="17">
        <f t="shared" ca="1" si="2"/>
        <v>8160000</v>
      </c>
      <c r="I45" s="14">
        <f t="shared" ca="1" si="3"/>
        <v>0.56666666666666665</v>
      </c>
    </row>
    <row r="46" spans="1:9" x14ac:dyDescent="0.2">
      <c r="A46" s="20">
        <v>46036</v>
      </c>
      <c r="B46" s="16" t="str" cm="1">
        <f t="array" aca="1" ref="B46" ca="1">INDEX(Showtimes_Master!$A$2:$A$11, RANDBETWEEN(1, 10))</f>
        <v>ST003</v>
      </c>
      <c r="C46" s="16" t="str">
        <f ca="1">VLOOKUP(B46, Showtimes_Master!$A$2:$E$11, 2, 0)</f>
        <v>Dune: Part Two</v>
      </c>
      <c r="D46" s="16" t="str">
        <f ca="1">VLOOKUP(B46, Showtimes_Master!$A$2:$E$11, 3, 0)</f>
        <v>Beta Quang Trung</v>
      </c>
      <c r="E46" s="16">
        <f ca="1">VLOOKUP(B46,Showtimes_Master!$A$2:$E$11, 5, 0)</f>
        <v>250</v>
      </c>
      <c r="F46" s="16">
        <f t="shared" ca="1" si="0"/>
        <v>94</v>
      </c>
      <c r="G46" s="16">
        <f t="shared" ca="1" si="1"/>
        <v>90000</v>
      </c>
      <c r="H46" s="17">
        <f t="shared" ca="1" si="2"/>
        <v>8460000</v>
      </c>
      <c r="I46" s="14">
        <f t="shared" ca="1" si="3"/>
        <v>0.376</v>
      </c>
    </row>
    <row r="47" spans="1:9" x14ac:dyDescent="0.2">
      <c r="A47" s="20">
        <v>46037</v>
      </c>
      <c r="B47" s="16" t="str" cm="1">
        <f t="array" aca="1" ref="B47" ca="1">INDEX(Showtimes_Master!$A$2:$A$11, RANDBETWEEN(1, 10))</f>
        <v>ST007</v>
      </c>
      <c r="C47" s="16" t="str">
        <f ca="1">VLOOKUP(B47, Showtimes_Master!$A$2:$E$11, 2, 0)</f>
        <v>Godzilla x Kong</v>
      </c>
      <c r="D47" s="16" t="str">
        <f ca="1">VLOOKUP(B47, Showtimes_Master!$A$2:$E$11, 3, 0)</f>
        <v>Beta Quang Trung</v>
      </c>
      <c r="E47" s="16">
        <f ca="1">VLOOKUP(B47,Showtimes_Master!$A$2:$E$11, 5, 0)</f>
        <v>150</v>
      </c>
      <c r="F47" s="16">
        <f t="shared" ca="1" si="0"/>
        <v>52</v>
      </c>
      <c r="G47" s="16">
        <f t="shared" ca="1" si="1"/>
        <v>90000</v>
      </c>
      <c r="H47" s="17">
        <f t="shared" ca="1" si="2"/>
        <v>4680000</v>
      </c>
      <c r="I47" s="14">
        <f t="shared" ca="1" si="3"/>
        <v>0.34666666666666668</v>
      </c>
    </row>
    <row r="48" spans="1:9" x14ac:dyDescent="0.2">
      <c r="A48" s="20">
        <v>46038</v>
      </c>
      <c r="B48" s="16" t="str" cm="1">
        <f t="array" aca="1" ref="B48" ca="1">INDEX(Showtimes_Master!$A$2:$A$11, RANDBETWEEN(1, 10))</f>
        <v>ST007</v>
      </c>
      <c r="C48" s="16" t="str">
        <f ca="1">VLOOKUP(B48, Showtimes_Master!$A$2:$E$11, 2, 0)</f>
        <v>Godzilla x Kong</v>
      </c>
      <c r="D48" s="16" t="str">
        <f ca="1">VLOOKUP(B48, Showtimes_Master!$A$2:$E$11, 3, 0)</f>
        <v>Beta Quang Trung</v>
      </c>
      <c r="E48" s="16">
        <f ca="1">VLOOKUP(B48,Showtimes_Master!$A$2:$E$11, 5, 0)</f>
        <v>150</v>
      </c>
      <c r="F48" s="16">
        <f t="shared" ca="1" si="0"/>
        <v>107</v>
      </c>
      <c r="G48" s="16">
        <f t="shared" ca="1" si="1"/>
        <v>85000</v>
      </c>
      <c r="H48" s="17">
        <f t="shared" ca="1" si="2"/>
        <v>9095000</v>
      </c>
      <c r="I48" s="14">
        <f t="shared" ca="1" si="3"/>
        <v>0.71333333333333337</v>
      </c>
    </row>
    <row r="49" spans="1:9" x14ac:dyDescent="0.2">
      <c r="A49" s="20">
        <v>46039</v>
      </c>
      <c r="B49" s="16" t="str" cm="1">
        <f t="array" aca="1" ref="B49" ca="1">INDEX(Showtimes_Master!$A$2:$A$11, RANDBETWEEN(1, 10))</f>
        <v>ST002</v>
      </c>
      <c r="C49" s="16" t="str">
        <f ca="1">VLOOKUP(B49, Showtimes_Master!$A$2:$E$11, 2, 0)</f>
        <v>Mai</v>
      </c>
      <c r="D49" s="16" t="str">
        <f ca="1">VLOOKUP(B49, Showtimes_Master!$A$2:$E$11, 3, 0)</f>
        <v>Beta Bình Thạnh</v>
      </c>
      <c r="E49" s="16">
        <f ca="1">VLOOKUP(B49,Showtimes_Master!$A$2:$E$11, 5, 0)</f>
        <v>120</v>
      </c>
      <c r="F49" s="16">
        <f t="shared" ca="1" si="0"/>
        <v>88</v>
      </c>
      <c r="G49" s="16">
        <f t="shared" ca="1" si="1"/>
        <v>120000</v>
      </c>
      <c r="H49" s="17">
        <f t="shared" ca="1" si="2"/>
        <v>10560000</v>
      </c>
      <c r="I49" s="14">
        <f t="shared" ca="1" si="3"/>
        <v>0.73333333333333328</v>
      </c>
    </row>
    <row r="50" spans="1:9" x14ac:dyDescent="0.2">
      <c r="A50" s="20">
        <v>46040</v>
      </c>
      <c r="B50" s="16" t="str" cm="1">
        <f t="array" aca="1" ref="B50" ca="1">INDEX(Showtimes_Master!$A$2:$A$11, RANDBETWEEN(1, 10))</f>
        <v>ST007</v>
      </c>
      <c r="C50" s="16" t="str">
        <f ca="1">VLOOKUP(B50, Showtimes_Master!$A$2:$E$11, 2, 0)</f>
        <v>Godzilla x Kong</v>
      </c>
      <c r="D50" s="16" t="str">
        <f ca="1">VLOOKUP(B50, Showtimes_Master!$A$2:$E$11, 3, 0)</f>
        <v>Beta Quang Trung</v>
      </c>
      <c r="E50" s="16">
        <f ca="1">VLOOKUP(B50,Showtimes_Master!$A$2:$E$11, 5, 0)</f>
        <v>150</v>
      </c>
      <c r="F50" s="16">
        <f t="shared" ca="1" si="0"/>
        <v>89</v>
      </c>
      <c r="G50" s="16">
        <f t="shared" ca="1" si="1"/>
        <v>120000</v>
      </c>
      <c r="H50" s="17">
        <f t="shared" ca="1" si="2"/>
        <v>10680000</v>
      </c>
      <c r="I50" s="14">
        <f t="shared" ca="1" si="3"/>
        <v>0.59333333333333338</v>
      </c>
    </row>
    <row r="51" spans="1:9" x14ac:dyDescent="0.2">
      <c r="A51" s="20">
        <v>46041</v>
      </c>
      <c r="B51" s="16" t="str" cm="1">
        <f t="array" aca="1" ref="B51" ca="1">INDEX(Showtimes_Master!$A$2:$A$11, RANDBETWEEN(1, 10))</f>
        <v>ST002</v>
      </c>
      <c r="C51" s="16" t="str">
        <f ca="1">VLOOKUP(B51, Showtimes_Master!$A$2:$E$11, 2, 0)</f>
        <v>Mai</v>
      </c>
      <c r="D51" s="16" t="str">
        <f ca="1">VLOOKUP(B51, Showtimes_Master!$A$2:$E$11, 3, 0)</f>
        <v>Beta Bình Thạnh</v>
      </c>
      <c r="E51" s="16">
        <f ca="1">VLOOKUP(B51,Showtimes_Master!$A$2:$E$11, 5, 0)</f>
        <v>120</v>
      </c>
      <c r="F51" s="16">
        <f t="shared" ca="1" si="0"/>
        <v>55</v>
      </c>
      <c r="G51" s="16">
        <f t="shared" ca="1" si="1"/>
        <v>85000</v>
      </c>
      <c r="H51" s="17">
        <f t="shared" ca="1" si="2"/>
        <v>4675000</v>
      </c>
      <c r="I51" s="14">
        <f t="shared" ca="1" si="3"/>
        <v>0.45833333333333331</v>
      </c>
    </row>
    <row r="52" spans="1:9" x14ac:dyDescent="0.2">
      <c r="A52" s="20">
        <v>46042</v>
      </c>
      <c r="B52" s="16" t="str" cm="1">
        <f t="array" aca="1" ref="B52" ca="1">INDEX(Showtimes_Master!$A$2:$A$11, RANDBETWEEN(1, 10))</f>
        <v>ST009</v>
      </c>
      <c r="C52" s="16" t="str">
        <f ca="1">VLOOKUP(B52, Showtimes_Master!$A$2:$E$11, 2, 0)</f>
        <v>Dune: Part Two</v>
      </c>
      <c r="D52" s="16" t="str">
        <f ca="1">VLOOKUP(B52, Showtimes_Master!$A$2:$E$11, 3, 0)</f>
        <v>Beta Bình Thạnh</v>
      </c>
      <c r="E52" s="16">
        <f ca="1">VLOOKUP(B52,Showtimes_Master!$A$2:$E$11, 5, 0)</f>
        <v>120</v>
      </c>
      <c r="F52" s="16">
        <f t="shared" ca="1" si="0"/>
        <v>95</v>
      </c>
      <c r="G52" s="16">
        <f t="shared" ca="1" si="1"/>
        <v>75000</v>
      </c>
      <c r="H52" s="17">
        <f t="shared" ca="1" si="2"/>
        <v>7125000</v>
      </c>
      <c r="I52" s="14">
        <f t="shared" ca="1" si="3"/>
        <v>0.79166666666666663</v>
      </c>
    </row>
    <row r="53" spans="1:9" x14ac:dyDescent="0.2">
      <c r="A53" s="20">
        <v>46043</v>
      </c>
      <c r="B53" s="16" t="str" cm="1">
        <f t="array" aca="1" ref="B53" ca="1">INDEX(Showtimes_Master!$A$2:$A$11, RANDBETWEEN(1, 10))</f>
        <v>ST001</v>
      </c>
      <c r="C53" s="16" t="str">
        <f ca="1">VLOOKUP(B53, Showtimes_Master!$A$2:$E$11, 2, 0)</f>
        <v>Mai</v>
      </c>
      <c r="D53" s="16" t="str">
        <f ca="1">VLOOKUP(B53, Showtimes_Master!$A$2:$E$11, 3, 0)</f>
        <v>Beta Quang Trung</v>
      </c>
      <c r="E53" s="16">
        <f ca="1">VLOOKUP(B53,Showtimes_Master!$A$2:$E$11, 5, 0)</f>
        <v>150</v>
      </c>
      <c r="F53" s="16">
        <f t="shared" ca="1" si="0"/>
        <v>89</v>
      </c>
      <c r="G53" s="16">
        <f t="shared" ca="1" si="1"/>
        <v>85000</v>
      </c>
      <c r="H53" s="17">
        <f t="shared" ca="1" si="2"/>
        <v>7565000</v>
      </c>
      <c r="I53" s="14">
        <f t="shared" ca="1" si="3"/>
        <v>0.59333333333333338</v>
      </c>
    </row>
    <row r="54" spans="1:9" x14ac:dyDescent="0.2">
      <c r="A54" s="20">
        <v>46044</v>
      </c>
      <c r="B54" s="16" t="str" cm="1">
        <f t="array" aca="1" ref="B54" ca="1">INDEX(Showtimes_Master!$A$2:$A$11, RANDBETWEEN(1, 10))</f>
        <v>ST004</v>
      </c>
      <c r="C54" s="16" t="str">
        <f ca="1">VLOOKUP(B54, Showtimes_Master!$A$2:$E$11, 2, 0)</f>
        <v>Kungfu Panda 4</v>
      </c>
      <c r="D54" s="16" t="str">
        <f ca="1">VLOOKUP(B54, Showtimes_Master!$A$2:$E$11, 3, 0)</f>
        <v>Beta Thái Nguyên</v>
      </c>
      <c r="E54" s="16">
        <f ca="1">VLOOKUP(B54,Showtimes_Master!$A$2:$E$11, 5, 0)</f>
        <v>100</v>
      </c>
      <c r="F54" s="16">
        <f t="shared" ca="1" si="0"/>
        <v>57</v>
      </c>
      <c r="G54" s="16">
        <f t="shared" ca="1" si="1"/>
        <v>85000</v>
      </c>
      <c r="H54" s="17">
        <f t="shared" ca="1" si="2"/>
        <v>4845000</v>
      </c>
      <c r="I54" s="14">
        <f t="shared" ca="1" si="3"/>
        <v>0.56999999999999995</v>
      </c>
    </row>
    <row r="55" spans="1:9" x14ac:dyDescent="0.2">
      <c r="A55" s="20">
        <v>46045</v>
      </c>
      <c r="B55" s="16" t="str" cm="1">
        <f t="array" aca="1" ref="B55" ca="1">INDEX(Showtimes_Master!$A$2:$A$11, RANDBETWEEN(1, 10))</f>
        <v>ST009</v>
      </c>
      <c r="C55" s="16" t="str">
        <f ca="1">VLOOKUP(B55, Showtimes_Master!$A$2:$E$11, 2, 0)</f>
        <v>Dune: Part Two</v>
      </c>
      <c r="D55" s="16" t="str">
        <f ca="1">VLOOKUP(B55, Showtimes_Master!$A$2:$E$11, 3, 0)</f>
        <v>Beta Bình Thạnh</v>
      </c>
      <c r="E55" s="16">
        <f ca="1">VLOOKUP(B55,Showtimes_Master!$A$2:$E$11, 5, 0)</f>
        <v>120</v>
      </c>
      <c r="F55" s="16">
        <f t="shared" ca="1" si="0"/>
        <v>59</v>
      </c>
      <c r="G55" s="16">
        <f t="shared" ca="1" si="1"/>
        <v>85000</v>
      </c>
      <c r="H55" s="17">
        <f t="shared" ca="1" si="2"/>
        <v>5015000</v>
      </c>
      <c r="I55" s="14">
        <f t="shared" ca="1" si="3"/>
        <v>0.49166666666666664</v>
      </c>
    </row>
    <row r="56" spans="1:9" x14ac:dyDescent="0.2">
      <c r="A56" s="20">
        <v>46046</v>
      </c>
      <c r="B56" s="16" t="str" cm="1">
        <f t="array" aca="1" ref="B56" ca="1">INDEX(Showtimes_Master!$A$2:$A$11, RANDBETWEEN(1, 10))</f>
        <v>ST009</v>
      </c>
      <c r="C56" s="16" t="str">
        <f ca="1">VLOOKUP(B56, Showtimes_Master!$A$2:$E$11, 2, 0)</f>
        <v>Dune: Part Two</v>
      </c>
      <c r="D56" s="16" t="str">
        <f ca="1">VLOOKUP(B56, Showtimes_Master!$A$2:$E$11, 3, 0)</f>
        <v>Beta Bình Thạnh</v>
      </c>
      <c r="E56" s="16">
        <f ca="1">VLOOKUP(B56,Showtimes_Master!$A$2:$E$11, 5, 0)</f>
        <v>120</v>
      </c>
      <c r="F56" s="16">
        <f t="shared" ca="1" si="0"/>
        <v>93</v>
      </c>
      <c r="G56" s="16">
        <f t="shared" ca="1" si="1"/>
        <v>75000</v>
      </c>
      <c r="H56" s="17">
        <f t="shared" ca="1" si="2"/>
        <v>6975000</v>
      </c>
      <c r="I56" s="14">
        <f t="shared" ca="1" si="3"/>
        <v>0.77500000000000002</v>
      </c>
    </row>
    <row r="57" spans="1:9" x14ac:dyDescent="0.2">
      <c r="A57" s="20">
        <v>46047</v>
      </c>
      <c r="B57" s="16" t="str" cm="1">
        <f t="array" aca="1" ref="B57" ca="1">INDEX(Showtimes_Master!$A$2:$A$11, RANDBETWEEN(1, 10))</f>
        <v>ST006</v>
      </c>
      <c r="C57" s="16" t="str">
        <f ca="1">VLOOKUP(B57, Showtimes_Master!$A$2:$E$11, 2, 0)</f>
        <v>Gặp Lại Chị Bầu</v>
      </c>
      <c r="D57" s="16" t="str">
        <f ca="1">VLOOKUP(B57, Showtimes_Master!$A$2:$E$11, 3, 0)</f>
        <v>Beta Tân Uyên</v>
      </c>
      <c r="E57" s="16">
        <f ca="1">VLOOKUP(B57,Showtimes_Master!$A$2:$E$11, 5, 0)</f>
        <v>150</v>
      </c>
      <c r="F57" s="16">
        <f t="shared" ca="1" si="0"/>
        <v>96</v>
      </c>
      <c r="G57" s="16">
        <f t="shared" ca="1" si="1"/>
        <v>90000</v>
      </c>
      <c r="H57" s="17">
        <f t="shared" ca="1" si="2"/>
        <v>8640000</v>
      </c>
      <c r="I57" s="14">
        <f t="shared" ca="1" si="3"/>
        <v>0.64</v>
      </c>
    </row>
    <row r="58" spans="1:9" x14ac:dyDescent="0.2">
      <c r="A58" s="20">
        <v>46048</v>
      </c>
      <c r="B58" s="16" t="str" cm="1">
        <f t="array" aca="1" ref="B58" ca="1">INDEX(Showtimes_Master!$A$2:$A$11, RANDBETWEEN(1, 10))</f>
        <v>ST006</v>
      </c>
      <c r="C58" s="16" t="str">
        <f ca="1">VLOOKUP(B58, Showtimes_Master!$A$2:$E$11, 2, 0)</f>
        <v>Gặp Lại Chị Bầu</v>
      </c>
      <c r="D58" s="16" t="str">
        <f ca="1">VLOOKUP(B58, Showtimes_Master!$A$2:$E$11, 3, 0)</f>
        <v>Beta Tân Uyên</v>
      </c>
      <c r="E58" s="16">
        <f ca="1">VLOOKUP(B58,Showtimes_Master!$A$2:$E$11, 5, 0)</f>
        <v>150</v>
      </c>
      <c r="F58" s="16">
        <f t="shared" ca="1" si="0"/>
        <v>89</v>
      </c>
      <c r="G58" s="16">
        <f t="shared" ca="1" si="1"/>
        <v>75000</v>
      </c>
      <c r="H58" s="17">
        <f t="shared" ca="1" si="2"/>
        <v>6675000</v>
      </c>
      <c r="I58" s="14">
        <f t="shared" ca="1" si="3"/>
        <v>0.59333333333333338</v>
      </c>
    </row>
    <row r="59" spans="1:9" x14ac:dyDescent="0.2">
      <c r="A59" s="20">
        <v>46049</v>
      </c>
      <c r="B59" s="16" t="str" cm="1">
        <f t="array" aca="1" ref="B59" ca="1">INDEX(Showtimes_Master!$A$2:$A$11, RANDBETWEEN(1, 10))</f>
        <v>ST010</v>
      </c>
      <c r="C59" s="16" t="str">
        <f ca="1">VLOOKUP(B59, Showtimes_Master!$A$2:$E$11, 2, 0)</f>
        <v>Kungfu Panda 4</v>
      </c>
      <c r="D59" s="16" t="str">
        <f ca="1">VLOOKUP(B59, Showtimes_Master!$A$2:$E$11, 3, 0)</f>
        <v>Beta Quang Trung</v>
      </c>
      <c r="E59" s="16">
        <f ca="1">VLOOKUP(B59,Showtimes_Master!$A$2:$E$11, 5, 0)</f>
        <v>150</v>
      </c>
      <c r="F59" s="16">
        <f t="shared" ca="1" si="0"/>
        <v>137</v>
      </c>
      <c r="G59" s="16">
        <f t="shared" ca="1" si="1"/>
        <v>120000</v>
      </c>
      <c r="H59" s="17">
        <f t="shared" ca="1" si="2"/>
        <v>16440000</v>
      </c>
      <c r="I59" s="14">
        <f t="shared" ca="1" si="3"/>
        <v>0.91333333333333333</v>
      </c>
    </row>
    <row r="60" spans="1:9" x14ac:dyDescent="0.2">
      <c r="A60" s="20">
        <v>46050</v>
      </c>
      <c r="B60" s="16" t="str" cm="1">
        <f t="array" aca="1" ref="B60" ca="1">INDEX(Showtimes_Master!$A$2:$A$11, RANDBETWEEN(1, 10))</f>
        <v>ST008</v>
      </c>
      <c r="C60" s="16" t="str">
        <f ca="1">VLOOKUP(B60, Showtimes_Master!$A$2:$E$11, 2, 0)</f>
        <v>Mai</v>
      </c>
      <c r="D60" s="16" t="str">
        <f ca="1">VLOOKUP(B60, Showtimes_Master!$A$2:$E$11, 3, 0)</f>
        <v>Beta Thái Nguyên</v>
      </c>
      <c r="E60" s="16">
        <f ca="1">VLOOKUP(B60,Showtimes_Master!$A$2:$E$11, 5, 0)</f>
        <v>100</v>
      </c>
      <c r="F60" s="16">
        <f t="shared" ca="1" si="0"/>
        <v>54</v>
      </c>
      <c r="G60" s="16">
        <f t="shared" ca="1" si="1"/>
        <v>120000</v>
      </c>
      <c r="H60" s="17">
        <f t="shared" ca="1" si="2"/>
        <v>6480000</v>
      </c>
      <c r="I60" s="14">
        <f t="shared" ca="1" si="3"/>
        <v>0.54</v>
      </c>
    </row>
    <row r="61" spans="1:9" x14ac:dyDescent="0.2">
      <c r="A61" s="20">
        <v>46051</v>
      </c>
      <c r="B61" s="16" t="str" cm="1">
        <f t="array" aca="1" ref="B61" ca="1">INDEX(Showtimes_Master!$A$2:$A$11, RANDBETWEEN(1, 10))</f>
        <v>ST010</v>
      </c>
      <c r="C61" s="16" t="str">
        <f ca="1">VLOOKUP(B61, Showtimes_Master!$A$2:$E$11, 2, 0)</f>
        <v>Kungfu Panda 4</v>
      </c>
      <c r="D61" s="16" t="str">
        <f ca="1">VLOOKUP(B61, Showtimes_Master!$A$2:$E$11, 3, 0)</f>
        <v>Beta Quang Trung</v>
      </c>
      <c r="E61" s="16">
        <f ca="1">VLOOKUP(B61,Showtimes_Master!$A$2:$E$11, 5, 0)</f>
        <v>150</v>
      </c>
      <c r="F61" s="16">
        <f t="shared" ca="1" si="0"/>
        <v>124</v>
      </c>
      <c r="G61" s="16">
        <f t="shared" ca="1" si="1"/>
        <v>75000</v>
      </c>
      <c r="H61" s="17">
        <f t="shared" ca="1" si="2"/>
        <v>9300000</v>
      </c>
      <c r="I61" s="14">
        <f t="shared" ca="1" si="3"/>
        <v>0.82666666666666666</v>
      </c>
    </row>
    <row r="62" spans="1:9" x14ac:dyDescent="0.2">
      <c r="A62" s="20">
        <v>46052</v>
      </c>
      <c r="B62" s="16" t="str" cm="1">
        <f t="array" aca="1" ref="B62" ca="1">INDEX(Showtimes_Master!$A$2:$A$11, RANDBETWEEN(1, 10))</f>
        <v>ST001</v>
      </c>
      <c r="C62" s="16" t="str">
        <f ca="1">VLOOKUP(B62, Showtimes_Master!$A$2:$E$11, 2, 0)</f>
        <v>Mai</v>
      </c>
      <c r="D62" s="16" t="str">
        <f ca="1">VLOOKUP(B62, Showtimes_Master!$A$2:$E$11, 3, 0)</f>
        <v>Beta Quang Trung</v>
      </c>
      <c r="E62" s="16">
        <f ca="1">VLOOKUP(B62,Showtimes_Master!$A$2:$E$11, 5, 0)</f>
        <v>150</v>
      </c>
      <c r="F62" s="16">
        <f t="shared" ca="1" si="0"/>
        <v>78</v>
      </c>
      <c r="G62" s="16">
        <f t="shared" ca="1" si="1"/>
        <v>85000</v>
      </c>
      <c r="H62" s="17">
        <f t="shared" ca="1" si="2"/>
        <v>6630000</v>
      </c>
      <c r="I62" s="14">
        <f t="shared" ca="1" si="3"/>
        <v>0.52</v>
      </c>
    </row>
    <row r="63" spans="1:9" x14ac:dyDescent="0.2">
      <c r="A63" s="20">
        <v>46053</v>
      </c>
      <c r="B63" s="16" t="str" cm="1">
        <f t="array" aca="1" ref="B63" ca="1">INDEX(Showtimes_Master!$A$2:$A$11, RANDBETWEEN(1, 10))</f>
        <v>ST006</v>
      </c>
      <c r="C63" s="16" t="str">
        <f ca="1">VLOOKUP(B63, Showtimes_Master!$A$2:$E$11, 2, 0)</f>
        <v>Gặp Lại Chị Bầu</v>
      </c>
      <c r="D63" s="16" t="str">
        <f ca="1">VLOOKUP(B63, Showtimes_Master!$A$2:$E$11, 3, 0)</f>
        <v>Beta Tân Uyên</v>
      </c>
      <c r="E63" s="16">
        <f ca="1">VLOOKUP(B63,Showtimes_Master!$A$2:$E$11, 5, 0)</f>
        <v>150</v>
      </c>
      <c r="F63" s="16">
        <f t="shared" ca="1" si="0"/>
        <v>62</v>
      </c>
      <c r="G63" s="16">
        <f t="shared" ca="1" si="1"/>
        <v>90000</v>
      </c>
      <c r="H63" s="17">
        <f t="shared" ca="1" si="2"/>
        <v>5580000</v>
      </c>
      <c r="I63" s="14">
        <f t="shared" ca="1" si="3"/>
        <v>0.41333333333333333</v>
      </c>
    </row>
    <row r="64" spans="1:9" x14ac:dyDescent="0.2">
      <c r="A64" s="20">
        <v>46054</v>
      </c>
      <c r="B64" s="16" t="str" cm="1">
        <f t="array" aca="1" ref="B64" ca="1">INDEX(Showtimes_Master!$A$2:$A$11, RANDBETWEEN(1, 10))</f>
        <v>ST005</v>
      </c>
      <c r="C64" s="16" t="str">
        <f ca="1">VLOOKUP(B64, Showtimes_Master!$A$2:$E$11, 2, 0)</f>
        <v>Đào, Phở và Piano</v>
      </c>
      <c r="D64" s="16" t="str">
        <f ca="1">VLOOKUP(B64, Showtimes_Master!$A$2:$E$11, 3, 0)</f>
        <v>Beta Ung Văn Khiêm</v>
      </c>
      <c r="E64" s="16">
        <f ca="1">VLOOKUP(B64,Showtimes_Master!$A$2:$E$11, 5, 0)</f>
        <v>120</v>
      </c>
      <c r="F64" s="16">
        <f t="shared" ca="1" si="0"/>
        <v>112</v>
      </c>
      <c r="G64" s="16">
        <f t="shared" ca="1" si="1"/>
        <v>120000</v>
      </c>
      <c r="H64" s="17">
        <f t="shared" ca="1" si="2"/>
        <v>13440000</v>
      </c>
      <c r="I64" s="14">
        <f t="shared" ca="1" si="3"/>
        <v>0.93333333333333335</v>
      </c>
    </row>
    <row r="65" spans="1:9" x14ac:dyDescent="0.2">
      <c r="A65" s="20">
        <v>46055</v>
      </c>
      <c r="B65" s="16" t="str" cm="1">
        <f t="array" aca="1" ref="B65" ca="1">INDEX(Showtimes_Master!$A$2:$A$11, RANDBETWEEN(1, 10))</f>
        <v>ST002</v>
      </c>
      <c r="C65" s="16" t="str">
        <f ca="1">VLOOKUP(B65, Showtimes_Master!$A$2:$E$11, 2, 0)</f>
        <v>Mai</v>
      </c>
      <c r="D65" s="16" t="str">
        <f ca="1">VLOOKUP(B65, Showtimes_Master!$A$2:$E$11, 3, 0)</f>
        <v>Beta Bình Thạnh</v>
      </c>
      <c r="E65" s="16">
        <f ca="1">VLOOKUP(B65,Showtimes_Master!$A$2:$E$11, 5, 0)</f>
        <v>120</v>
      </c>
      <c r="F65" s="16">
        <f t="shared" ca="1" si="0"/>
        <v>91</v>
      </c>
      <c r="G65" s="16">
        <f t="shared" ca="1" si="1"/>
        <v>120000</v>
      </c>
      <c r="H65" s="17">
        <f t="shared" ca="1" si="2"/>
        <v>10920000</v>
      </c>
      <c r="I65" s="14">
        <f t="shared" ca="1" si="3"/>
        <v>0.7583333333333333</v>
      </c>
    </row>
    <row r="66" spans="1:9" x14ac:dyDescent="0.2">
      <c r="A66" s="20">
        <v>46056</v>
      </c>
      <c r="B66" s="16" t="str" cm="1">
        <f t="array" aca="1" ref="B66" ca="1">INDEX(Showtimes_Master!$A$2:$A$11, RANDBETWEEN(1, 10))</f>
        <v>ST003</v>
      </c>
      <c r="C66" s="16" t="str">
        <f ca="1">VLOOKUP(B66, Showtimes_Master!$A$2:$E$11, 2, 0)</f>
        <v>Dune: Part Two</v>
      </c>
      <c r="D66" s="16" t="str">
        <f ca="1">VLOOKUP(B66, Showtimes_Master!$A$2:$E$11, 3, 0)</f>
        <v>Beta Quang Trung</v>
      </c>
      <c r="E66" s="16">
        <f ca="1">VLOOKUP(B66,Showtimes_Master!$A$2:$E$11, 5, 0)</f>
        <v>250</v>
      </c>
      <c r="F66" s="16">
        <f t="shared" ca="1" si="0"/>
        <v>184</v>
      </c>
      <c r="G66" s="16">
        <f t="shared" ca="1" si="1"/>
        <v>120000</v>
      </c>
      <c r="H66" s="17">
        <f t="shared" ca="1" si="2"/>
        <v>22080000</v>
      </c>
      <c r="I66" s="14">
        <f t="shared" ca="1" si="3"/>
        <v>0.73599999999999999</v>
      </c>
    </row>
    <row r="67" spans="1:9" x14ac:dyDescent="0.2">
      <c r="A67" s="20">
        <v>46057</v>
      </c>
      <c r="B67" s="16" t="str" cm="1">
        <f t="array" aca="1" ref="B67" ca="1">INDEX(Showtimes_Master!$A$2:$A$11, RANDBETWEEN(1, 10))</f>
        <v>ST010</v>
      </c>
      <c r="C67" s="16" t="str">
        <f ca="1">VLOOKUP(B67, Showtimes_Master!$A$2:$E$11, 2, 0)</f>
        <v>Kungfu Panda 4</v>
      </c>
      <c r="D67" s="16" t="str">
        <f ca="1">VLOOKUP(B67, Showtimes_Master!$A$2:$E$11, 3, 0)</f>
        <v>Beta Quang Trung</v>
      </c>
      <c r="E67" s="16">
        <f ca="1">VLOOKUP(B67,Showtimes_Master!$A$2:$E$11, 5, 0)</f>
        <v>150</v>
      </c>
      <c r="F67" s="16">
        <f t="shared" ref="F67:F91" ca="1" si="4">RANDBETWEEN(50, E67)</f>
        <v>81</v>
      </c>
      <c r="G67" s="16">
        <f t="shared" ref="G67:G91" ca="1" si="5">CHOOSE(RANDBETWEEN(1,4), 85000, 75000, 120000, 90000)</f>
        <v>75000</v>
      </c>
      <c r="H67" s="17">
        <f t="shared" ref="H67:H91" ca="1" si="6">G67*F67</f>
        <v>6075000</v>
      </c>
      <c r="I67" s="14">
        <f t="shared" ref="I67:I91" ca="1" si="7">F67/E67</f>
        <v>0.54</v>
      </c>
    </row>
    <row r="68" spans="1:9" x14ac:dyDescent="0.2">
      <c r="A68" s="20">
        <v>46058</v>
      </c>
      <c r="B68" s="16" t="str" cm="1">
        <f t="array" aca="1" ref="B68" ca="1">INDEX(Showtimes_Master!$A$2:$A$11, RANDBETWEEN(1, 10))</f>
        <v>ST009</v>
      </c>
      <c r="C68" s="16" t="str">
        <f ca="1">VLOOKUP(B68, Showtimes_Master!$A$2:$E$11, 2, 0)</f>
        <v>Dune: Part Two</v>
      </c>
      <c r="D68" s="16" t="str">
        <f ca="1">VLOOKUP(B68, Showtimes_Master!$A$2:$E$11, 3, 0)</f>
        <v>Beta Bình Thạnh</v>
      </c>
      <c r="E68" s="16">
        <f ca="1">VLOOKUP(B68,Showtimes_Master!$A$2:$E$11, 5, 0)</f>
        <v>120</v>
      </c>
      <c r="F68" s="16">
        <f t="shared" ca="1" si="4"/>
        <v>54</v>
      </c>
      <c r="G68" s="16">
        <f t="shared" ca="1" si="5"/>
        <v>75000</v>
      </c>
      <c r="H68" s="17">
        <f t="shared" ca="1" si="6"/>
        <v>4050000</v>
      </c>
      <c r="I68" s="14">
        <f t="shared" ca="1" si="7"/>
        <v>0.45</v>
      </c>
    </row>
    <row r="69" spans="1:9" x14ac:dyDescent="0.2">
      <c r="A69" s="20">
        <v>46059</v>
      </c>
      <c r="B69" s="16" t="str" cm="1">
        <f t="array" aca="1" ref="B69" ca="1">INDEX(Showtimes_Master!$A$2:$A$11, RANDBETWEEN(1, 10))</f>
        <v>ST008</v>
      </c>
      <c r="C69" s="16" t="str">
        <f ca="1">VLOOKUP(B69, Showtimes_Master!$A$2:$E$11, 2, 0)</f>
        <v>Mai</v>
      </c>
      <c r="D69" s="16" t="str">
        <f ca="1">VLOOKUP(B69, Showtimes_Master!$A$2:$E$11, 3, 0)</f>
        <v>Beta Thái Nguyên</v>
      </c>
      <c r="E69" s="16">
        <f ca="1">VLOOKUP(B69,Showtimes_Master!$A$2:$E$11, 5, 0)</f>
        <v>100</v>
      </c>
      <c r="F69" s="16">
        <f t="shared" ca="1" si="4"/>
        <v>80</v>
      </c>
      <c r="G69" s="16">
        <f t="shared" ca="1" si="5"/>
        <v>90000</v>
      </c>
      <c r="H69" s="17">
        <f t="shared" ca="1" si="6"/>
        <v>7200000</v>
      </c>
      <c r="I69" s="14">
        <f t="shared" ca="1" si="7"/>
        <v>0.8</v>
      </c>
    </row>
    <row r="70" spans="1:9" x14ac:dyDescent="0.2">
      <c r="A70" s="20">
        <v>46060</v>
      </c>
      <c r="B70" s="16" t="str" cm="1">
        <f t="array" aca="1" ref="B70" ca="1">INDEX(Showtimes_Master!$A$2:$A$11, RANDBETWEEN(1, 10))</f>
        <v>ST001</v>
      </c>
      <c r="C70" s="16" t="str">
        <f ca="1">VLOOKUP(B70, Showtimes_Master!$A$2:$E$11, 2, 0)</f>
        <v>Mai</v>
      </c>
      <c r="D70" s="16" t="str">
        <f ca="1">VLOOKUP(B70, Showtimes_Master!$A$2:$E$11, 3, 0)</f>
        <v>Beta Quang Trung</v>
      </c>
      <c r="E70" s="16">
        <f ca="1">VLOOKUP(B70,Showtimes_Master!$A$2:$E$11, 5, 0)</f>
        <v>150</v>
      </c>
      <c r="F70" s="16">
        <f t="shared" ca="1" si="4"/>
        <v>75</v>
      </c>
      <c r="G70" s="16">
        <f t="shared" ca="1" si="5"/>
        <v>85000</v>
      </c>
      <c r="H70" s="17">
        <f t="shared" ca="1" si="6"/>
        <v>6375000</v>
      </c>
      <c r="I70" s="14">
        <f t="shared" ca="1" si="7"/>
        <v>0.5</v>
      </c>
    </row>
    <row r="71" spans="1:9" x14ac:dyDescent="0.2">
      <c r="A71" s="20">
        <v>46061</v>
      </c>
      <c r="B71" s="16" t="str" cm="1">
        <f t="array" aca="1" ref="B71" ca="1">INDEX(Showtimes_Master!$A$2:$A$11, RANDBETWEEN(1, 10))</f>
        <v>ST008</v>
      </c>
      <c r="C71" s="16" t="str">
        <f ca="1">VLOOKUP(B71, Showtimes_Master!$A$2:$E$11, 2, 0)</f>
        <v>Mai</v>
      </c>
      <c r="D71" s="16" t="str">
        <f ca="1">VLOOKUP(B71, Showtimes_Master!$A$2:$E$11, 3, 0)</f>
        <v>Beta Thái Nguyên</v>
      </c>
      <c r="E71" s="16">
        <f ca="1">VLOOKUP(B71,Showtimes_Master!$A$2:$E$11, 5, 0)</f>
        <v>100</v>
      </c>
      <c r="F71" s="16">
        <f t="shared" ca="1" si="4"/>
        <v>50</v>
      </c>
      <c r="G71" s="16">
        <f t="shared" ca="1" si="5"/>
        <v>85000</v>
      </c>
      <c r="H71" s="17">
        <f t="shared" ca="1" si="6"/>
        <v>4250000</v>
      </c>
      <c r="I71" s="14">
        <f t="shared" ca="1" si="7"/>
        <v>0.5</v>
      </c>
    </row>
    <row r="72" spans="1:9" x14ac:dyDescent="0.2">
      <c r="A72" s="20">
        <v>46062</v>
      </c>
      <c r="B72" s="16" t="str" cm="1">
        <f t="array" aca="1" ref="B72" ca="1">INDEX(Showtimes_Master!$A$2:$A$11, RANDBETWEEN(1, 10))</f>
        <v>ST007</v>
      </c>
      <c r="C72" s="16" t="str">
        <f ca="1">VLOOKUP(B72, Showtimes_Master!$A$2:$E$11, 2, 0)</f>
        <v>Godzilla x Kong</v>
      </c>
      <c r="D72" s="16" t="str">
        <f ca="1">VLOOKUP(B72, Showtimes_Master!$A$2:$E$11, 3, 0)</f>
        <v>Beta Quang Trung</v>
      </c>
      <c r="E72" s="16">
        <f ca="1">VLOOKUP(B72,Showtimes_Master!$A$2:$E$11, 5, 0)</f>
        <v>150</v>
      </c>
      <c r="F72" s="16">
        <f t="shared" ca="1" si="4"/>
        <v>69</v>
      </c>
      <c r="G72" s="16">
        <f t="shared" ca="1" si="5"/>
        <v>120000</v>
      </c>
      <c r="H72" s="17">
        <f t="shared" ca="1" si="6"/>
        <v>8280000</v>
      </c>
      <c r="I72" s="14">
        <f t="shared" ca="1" si="7"/>
        <v>0.46</v>
      </c>
    </row>
    <row r="73" spans="1:9" x14ac:dyDescent="0.2">
      <c r="A73" s="20">
        <v>46063</v>
      </c>
      <c r="B73" s="16" t="str" cm="1">
        <f t="array" aca="1" ref="B73" ca="1">INDEX(Showtimes_Master!$A$2:$A$11, RANDBETWEEN(1, 10))</f>
        <v>ST002</v>
      </c>
      <c r="C73" s="16" t="str">
        <f ca="1">VLOOKUP(B73, Showtimes_Master!$A$2:$E$11, 2, 0)</f>
        <v>Mai</v>
      </c>
      <c r="D73" s="16" t="str">
        <f ca="1">VLOOKUP(B73, Showtimes_Master!$A$2:$E$11, 3, 0)</f>
        <v>Beta Bình Thạnh</v>
      </c>
      <c r="E73" s="16">
        <f ca="1">VLOOKUP(B73,Showtimes_Master!$A$2:$E$11, 5, 0)</f>
        <v>120</v>
      </c>
      <c r="F73" s="16">
        <f t="shared" ca="1" si="4"/>
        <v>80</v>
      </c>
      <c r="G73" s="16">
        <f t="shared" ca="1" si="5"/>
        <v>120000</v>
      </c>
      <c r="H73" s="17">
        <f t="shared" ca="1" si="6"/>
        <v>9600000</v>
      </c>
      <c r="I73" s="14">
        <f t="shared" ca="1" si="7"/>
        <v>0.66666666666666663</v>
      </c>
    </row>
    <row r="74" spans="1:9" x14ac:dyDescent="0.2">
      <c r="A74" s="20">
        <v>46064</v>
      </c>
      <c r="B74" s="16" t="str" cm="1">
        <f t="array" aca="1" ref="B74" ca="1">INDEX(Showtimes_Master!$A$2:$A$11, RANDBETWEEN(1, 10))</f>
        <v>ST006</v>
      </c>
      <c r="C74" s="16" t="str">
        <f ca="1">VLOOKUP(B74, Showtimes_Master!$A$2:$E$11, 2, 0)</f>
        <v>Gặp Lại Chị Bầu</v>
      </c>
      <c r="D74" s="16" t="str">
        <f ca="1">VLOOKUP(B74, Showtimes_Master!$A$2:$E$11, 3, 0)</f>
        <v>Beta Tân Uyên</v>
      </c>
      <c r="E74" s="16">
        <f ca="1">VLOOKUP(B74,Showtimes_Master!$A$2:$E$11, 5, 0)</f>
        <v>150</v>
      </c>
      <c r="F74" s="16">
        <f t="shared" ca="1" si="4"/>
        <v>95</v>
      </c>
      <c r="G74" s="16">
        <f t="shared" ca="1" si="5"/>
        <v>85000</v>
      </c>
      <c r="H74" s="17">
        <f t="shared" ca="1" si="6"/>
        <v>8075000</v>
      </c>
      <c r="I74" s="14">
        <f t="shared" ca="1" si="7"/>
        <v>0.6333333333333333</v>
      </c>
    </row>
    <row r="75" spans="1:9" x14ac:dyDescent="0.2">
      <c r="A75" s="20">
        <v>46065</v>
      </c>
      <c r="B75" s="16" t="str" cm="1">
        <f t="array" aca="1" ref="B75" ca="1">INDEX(Showtimes_Master!$A$2:$A$11, RANDBETWEEN(1, 10))</f>
        <v>ST004</v>
      </c>
      <c r="C75" s="16" t="str">
        <f ca="1">VLOOKUP(B75, Showtimes_Master!$A$2:$E$11, 2, 0)</f>
        <v>Kungfu Panda 4</v>
      </c>
      <c r="D75" s="16" t="str">
        <f ca="1">VLOOKUP(B75, Showtimes_Master!$A$2:$E$11, 3, 0)</f>
        <v>Beta Thái Nguyên</v>
      </c>
      <c r="E75" s="16">
        <f ca="1">VLOOKUP(B75,Showtimes_Master!$A$2:$E$11, 5, 0)</f>
        <v>100</v>
      </c>
      <c r="F75" s="16">
        <f t="shared" ca="1" si="4"/>
        <v>81</v>
      </c>
      <c r="G75" s="16">
        <f t="shared" ca="1" si="5"/>
        <v>120000</v>
      </c>
      <c r="H75" s="17">
        <f t="shared" ca="1" si="6"/>
        <v>9720000</v>
      </c>
      <c r="I75" s="14">
        <f t="shared" ca="1" si="7"/>
        <v>0.81</v>
      </c>
    </row>
    <row r="76" spans="1:9" x14ac:dyDescent="0.2">
      <c r="A76" s="20">
        <v>46066</v>
      </c>
      <c r="B76" s="16" t="str" cm="1">
        <f t="array" aca="1" ref="B76" ca="1">INDEX(Showtimes_Master!$A$2:$A$11, RANDBETWEEN(1, 10))</f>
        <v>ST005</v>
      </c>
      <c r="C76" s="16" t="str">
        <f ca="1">VLOOKUP(B76, Showtimes_Master!$A$2:$E$11, 2, 0)</f>
        <v>Đào, Phở và Piano</v>
      </c>
      <c r="D76" s="16" t="str">
        <f ca="1">VLOOKUP(B76, Showtimes_Master!$A$2:$E$11, 3, 0)</f>
        <v>Beta Ung Văn Khiêm</v>
      </c>
      <c r="E76" s="16">
        <f ca="1">VLOOKUP(B76,Showtimes_Master!$A$2:$E$11, 5, 0)</f>
        <v>120</v>
      </c>
      <c r="F76" s="16">
        <f t="shared" ca="1" si="4"/>
        <v>117</v>
      </c>
      <c r="G76" s="16">
        <f t="shared" ca="1" si="5"/>
        <v>90000</v>
      </c>
      <c r="H76" s="17">
        <f t="shared" ca="1" si="6"/>
        <v>10530000</v>
      </c>
      <c r="I76" s="14">
        <f t="shared" ca="1" si="7"/>
        <v>0.97499999999999998</v>
      </c>
    </row>
    <row r="77" spans="1:9" x14ac:dyDescent="0.2">
      <c r="A77" s="20">
        <v>46067</v>
      </c>
      <c r="B77" s="16" t="str" cm="1">
        <f t="array" aca="1" ref="B77" ca="1">INDEX(Showtimes_Master!$A$2:$A$11, RANDBETWEEN(1, 10))</f>
        <v>ST004</v>
      </c>
      <c r="C77" s="16" t="str">
        <f ca="1">VLOOKUP(B77, Showtimes_Master!$A$2:$E$11, 2, 0)</f>
        <v>Kungfu Panda 4</v>
      </c>
      <c r="D77" s="16" t="str">
        <f ca="1">VLOOKUP(B77, Showtimes_Master!$A$2:$E$11, 3, 0)</f>
        <v>Beta Thái Nguyên</v>
      </c>
      <c r="E77" s="16">
        <f ca="1">VLOOKUP(B77,Showtimes_Master!$A$2:$E$11, 5, 0)</f>
        <v>100</v>
      </c>
      <c r="F77" s="16">
        <f t="shared" ca="1" si="4"/>
        <v>74</v>
      </c>
      <c r="G77" s="16">
        <f t="shared" ca="1" si="5"/>
        <v>120000</v>
      </c>
      <c r="H77" s="17">
        <f t="shared" ca="1" si="6"/>
        <v>8880000</v>
      </c>
      <c r="I77" s="14">
        <f t="shared" ca="1" si="7"/>
        <v>0.74</v>
      </c>
    </row>
    <row r="78" spans="1:9" x14ac:dyDescent="0.2">
      <c r="A78" s="20">
        <v>46068</v>
      </c>
      <c r="B78" s="16" t="str" cm="1">
        <f t="array" aca="1" ref="B78" ca="1">INDEX(Showtimes_Master!$A$2:$A$11, RANDBETWEEN(1, 10))</f>
        <v>ST009</v>
      </c>
      <c r="C78" s="16" t="str">
        <f ca="1">VLOOKUP(B78, Showtimes_Master!$A$2:$E$11, 2, 0)</f>
        <v>Dune: Part Two</v>
      </c>
      <c r="D78" s="16" t="str">
        <f ca="1">VLOOKUP(B78, Showtimes_Master!$A$2:$E$11, 3, 0)</f>
        <v>Beta Bình Thạnh</v>
      </c>
      <c r="E78" s="16">
        <f ca="1">VLOOKUP(B78,Showtimes_Master!$A$2:$E$11, 5, 0)</f>
        <v>120</v>
      </c>
      <c r="F78" s="16">
        <f t="shared" ca="1" si="4"/>
        <v>82</v>
      </c>
      <c r="G78" s="16">
        <f t="shared" ca="1" si="5"/>
        <v>120000</v>
      </c>
      <c r="H78" s="17">
        <f t="shared" ca="1" si="6"/>
        <v>9840000</v>
      </c>
      <c r="I78" s="14">
        <f t="shared" ca="1" si="7"/>
        <v>0.68333333333333335</v>
      </c>
    </row>
    <row r="79" spans="1:9" x14ac:dyDescent="0.2">
      <c r="A79" s="20">
        <v>46069</v>
      </c>
      <c r="B79" s="16" t="str" cm="1">
        <f t="array" aca="1" ref="B79" ca="1">INDEX(Showtimes_Master!$A$2:$A$11, RANDBETWEEN(1, 10))</f>
        <v>ST002</v>
      </c>
      <c r="C79" s="16" t="str">
        <f ca="1">VLOOKUP(B79, Showtimes_Master!$A$2:$E$11, 2, 0)</f>
        <v>Mai</v>
      </c>
      <c r="D79" s="16" t="str">
        <f ca="1">VLOOKUP(B79, Showtimes_Master!$A$2:$E$11, 3, 0)</f>
        <v>Beta Bình Thạnh</v>
      </c>
      <c r="E79" s="16">
        <f ca="1">VLOOKUP(B79,Showtimes_Master!$A$2:$E$11, 5, 0)</f>
        <v>120</v>
      </c>
      <c r="F79" s="16">
        <f t="shared" ca="1" si="4"/>
        <v>93</v>
      </c>
      <c r="G79" s="16">
        <f t="shared" ca="1" si="5"/>
        <v>75000</v>
      </c>
      <c r="H79" s="17">
        <f t="shared" ca="1" si="6"/>
        <v>6975000</v>
      </c>
      <c r="I79" s="14">
        <f t="shared" ca="1" si="7"/>
        <v>0.77500000000000002</v>
      </c>
    </row>
    <row r="80" spans="1:9" x14ac:dyDescent="0.2">
      <c r="A80" s="20">
        <v>46070</v>
      </c>
      <c r="B80" s="16" t="str" cm="1">
        <f t="array" aca="1" ref="B80" ca="1">INDEX(Showtimes_Master!$A$2:$A$11, RANDBETWEEN(1, 10))</f>
        <v>ST001</v>
      </c>
      <c r="C80" s="16" t="str">
        <f ca="1">VLOOKUP(B80, Showtimes_Master!$A$2:$E$11, 2, 0)</f>
        <v>Mai</v>
      </c>
      <c r="D80" s="16" t="str">
        <f ca="1">VLOOKUP(B80, Showtimes_Master!$A$2:$E$11, 3, 0)</f>
        <v>Beta Quang Trung</v>
      </c>
      <c r="E80" s="16">
        <f ca="1">VLOOKUP(B80,Showtimes_Master!$A$2:$E$11, 5, 0)</f>
        <v>150</v>
      </c>
      <c r="F80" s="16">
        <f t="shared" ca="1" si="4"/>
        <v>106</v>
      </c>
      <c r="G80" s="16">
        <f t="shared" ca="1" si="5"/>
        <v>85000</v>
      </c>
      <c r="H80" s="17">
        <f t="shared" ca="1" si="6"/>
        <v>9010000</v>
      </c>
      <c r="I80" s="14">
        <f t="shared" ca="1" si="7"/>
        <v>0.70666666666666667</v>
      </c>
    </row>
    <row r="81" spans="1:9" x14ac:dyDescent="0.2">
      <c r="A81" s="20">
        <v>46071</v>
      </c>
      <c r="B81" s="16" t="str" cm="1">
        <f t="array" aca="1" ref="B81" ca="1">INDEX(Showtimes_Master!$A$2:$A$11, RANDBETWEEN(1, 10))</f>
        <v>ST004</v>
      </c>
      <c r="C81" s="16" t="str">
        <f ca="1">VLOOKUP(B81, Showtimes_Master!$A$2:$E$11, 2, 0)</f>
        <v>Kungfu Panda 4</v>
      </c>
      <c r="D81" s="16" t="str">
        <f ca="1">VLOOKUP(B81, Showtimes_Master!$A$2:$E$11, 3, 0)</f>
        <v>Beta Thái Nguyên</v>
      </c>
      <c r="E81" s="16">
        <f ca="1">VLOOKUP(B81,Showtimes_Master!$A$2:$E$11, 5, 0)</f>
        <v>100</v>
      </c>
      <c r="F81" s="16">
        <f t="shared" ca="1" si="4"/>
        <v>71</v>
      </c>
      <c r="G81" s="16">
        <f t="shared" ca="1" si="5"/>
        <v>85000</v>
      </c>
      <c r="H81" s="17">
        <f t="shared" ca="1" si="6"/>
        <v>6035000</v>
      </c>
      <c r="I81" s="14">
        <f t="shared" ca="1" si="7"/>
        <v>0.71</v>
      </c>
    </row>
    <row r="82" spans="1:9" x14ac:dyDescent="0.2">
      <c r="A82" s="20">
        <v>46072</v>
      </c>
      <c r="B82" s="16" t="str" cm="1">
        <f t="array" aca="1" ref="B82" ca="1">INDEX(Showtimes_Master!$A$2:$A$11, RANDBETWEEN(1, 10))</f>
        <v>ST002</v>
      </c>
      <c r="C82" s="16" t="str">
        <f ca="1">VLOOKUP(B82, Showtimes_Master!$A$2:$E$11, 2, 0)</f>
        <v>Mai</v>
      </c>
      <c r="D82" s="16" t="str">
        <f ca="1">VLOOKUP(B82, Showtimes_Master!$A$2:$E$11, 3, 0)</f>
        <v>Beta Bình Thạnh</v>
      </c>
      <c r="E82" s="16">
        <f ca="1">VLOOKUP(B82,Showtimes_Master!$A$2:$E$11, 5, 0)</f>
        <v>120</v>
      </c>
      <c r="F82" s="16">
        <f t="shared" ca="1" si="4"/>
        <v>50</v>
      </c>
      <c r="G82" s="16">
        <f t="shared" ca="1" si="5"/>
        <v>75000</v>
      </c>
      <c r="H82" s="17">
        <f t="shared" ca="1" si="6"/>
        <v>3750000</v>
      </c>
      <c r="I82" s="14">
        <f t="shared" ca="1" si="7"/>
        <v>0.41666666666666669</v>
      </c>
    </row>
    <row r="83" spans="1:9" x14ac:dyDescent="0.2">
      <c r="A83" s="20">
        <v>46073</v>
      </c>
      <c r="B83" s="16" t="str" cm="1">
        <f t="array" aca="1" ref="B83" ca="1">INDEX(Showtimes_Master!$A$2:$A$11, RANDBETWEEN(1, 10))</f>
        <v>ST002</v>
      </c>
      <c r="C83" s="16" t="str">
        <f ca="1">VLOOKUP(B83, Showtimes_Master!$A$2:$E$11, 2, 0)</f>
        <v>Mai</v>
      </c>
      <c r="D83" s="16" t="str">
        <f ca="1">VLOOKUP(B83, Showtimes_Master!$A$2:$E$11, 3, 0)</f>
        <v>Beta Bình Thạnh</v>
      </c>
      <c r="E83" s="16">
        <f ca="1">VLOOKUP(B83,Showtimes_Master!$A$2:$E$11, 5, 0)</f>
        <v>120</v>
      </c>
      <c r="F83" s="16">
        <f t="shared" ca="1" si="4"/>
        <v>71</v>
      </c>
      <c r="G83" s="16">
        <f t="shared" ca="1" si="5"/>
        <v>90000</v>
      </c>
      <c r="H83" s="17">
        <f t="shared" ca="1" si="6"/>
        <v>6390000</v>
      </c>
      <c r="I83" s="14">
        <f t="shared" ca="1" si="7"/>
        <v>0.59166666666666667</v>
      </c>
    </row>
    <row r="84" spans="1:9" x14ac:dyDescent="0.2">
      <c r="A84" s="20">
        <v>46074</v>
      </c>
      <c r="B84" s="16" t="str" cm="1">
        <f t="array" aca="1" ref="B84" ca="1">INDEX(Showtimes_Master!$A$2:$A$11, RANDBETWEEN(1, 10))</f>
        <v>ST010</v>
      </c>
      <c r="C84" s="16" t="str">
        <f ca="1">VLOOKUP(B84, Showtimes_Master!$A$2:$E$11, 2, 0)</f>
        <v>Kungfu Panda 4</v>
      </c>
      <c r="D84" s="16" t="str">
        <f ca="1">VLOOKUP(B84, Showtimes_Master!$A$2:$E$11, 3, 0)</f>
        <v>Beta Quang Trung</v>
      </c>
      <c r="E84" s="16">
        <f ca="1">VLOOKUP(B84,Showtimes_Master!$A$2:$E$11, 5, 0)</f>
        <v>150</v>
      </c>
      <c r="F84" s="16">
        <f t="shared" ca="1" si="4"/>
        <v>56</v>
      </c>
      <c r="G84" s="16">
        <f t="shared" ca="1" si="5"/>
        <v>120000</v>
      </c>
      <c r="H84" s="17">
        <f t="shared" ca="1" si="6"/>
        <v>6720000</v>
      </c>
      <c r="I84" s="14">
        <f t="shared" ca="1" si="7"/>
        <v>0.37333333333333335</v>
      </c>
    </row>
    <row r="85" spans="1:9" x14ac:dyDescent="0.2">
      <c r="A85" s="20">
        <v>46075</v>
      </c>
      <c r="B85" s="16" t="str" cm="1">
        <f t="array" aca="1" ref="B85" ca="1">INDEX(Showtimes_Master!$A$2:$A$11, RANDBETWEEN(1, 10))</f>
        <v>ST010</v>
      </c>
      <c r="C85" s="16" t="str">
        <f ca="1">VLOOKUP(B85, Showtimes_Master!$A$2:$E$11, 2, 0)</f>
        <v>Kungfu Panda 4</v>
      </c>
      <c r="D85" s="16" t="str">
        <f ca="1">VLOOKUP(B85, Showtimes_Master!$A$2:$E$11, 3, 0)</f>
        <v>Beta Quang Trung</v>
      </c>
      <c r="E85" s="16">
        <f ca="1">VLOOKUP(B85,Showtimes_Master!$A$2:$E$11, 5, 0)</f>
        <v>150</v>
      </c>
      <c r="F85" s="16">
        <f t="shared" ca="1" si="4"/>
        <v>110</v>
      </c>
      <c r="G85" s="16">
        <f t="shared" ca="1" si="5"/>
        <v>75000</v>
      </c>
      <c r="H85" s="17">
        <f t="shared" ca="1" si="6"/>
        <v>8250000</v>
      </c>
      <c r="I85" s="14">
        <f t="shared" ca="1" si="7"/>
        <v>0.73333333333333328</v>
      </c>
    </row>
    <row r="86" spans="1:9" x14ac:dyDescent="0.2">
      <c r="A86" s="20">
        <v>46076</v>
      </c>
      <c r="B86" s="16" t="str" cm="1">
        <f t="array" aca="1" ref="B86" ca="1">INDEX(Showtimes_Master!$A$2:$A$11, RANDBETWEEN(1, 10))</f>
        <v>ST007</v>
      </c>
      <c r="C86" s="16" t="str">
        <f ca="1">VLOOKUP(B86, Showtimes_Master!$A$2:$E$11, 2, 0)</f>
        <v>Godzilla x Kong</v>
      </c>
      <c r="D86" s="16" t="str">
        <f ca="1">VLOOKUP(B86, Showtimes_Master!$A$2:$E$11, 3, 0)</f>
        <v>Beta Quang Trung</v>
      </c>
      <c r="E86" s="16">
        <f ca="1">VLOOKUP(B86,Showtimes_Master!$A$2:$E$11, 5, 0)</f>
        <v>150</v>
      </c>
      <c r="F86" s="16">
        <f t="shared" ca="1" si="4"/>
        <v>129</v>
      </c>
      <c r="G86" s="16">
        <f t="shared" ca="1" si="5"/>
        <v>75000</v>
      </c>
      <c r="H86" s="17">
        <f t="shared" ca="1" si="6"/>
        <v>9675000</v>
      </c>
      <c r="I86" s="14">
        <f t="shared" ca="1" si="7"/>
        <v>0.86</v>
      </c>
    </row>
    <row r="87" spans="1:9" x14ac:dyDescent="0.2">
      <c r="A87" s="20">
        <v>46077</v>
      </c>
      <c r="B87" s="16" t="str" cm="1">
        <f t="array" aca="1" ref="B87" ca="1">INDEX(Showtimes_Master!$A$2:$A$11, RANDBETWEEN(1, 10))</f>
        <v>ST004</v>
      </c>
      <c r="C87" s="16" t="str">
        <f ca="1">VLOOKUP(B87, Showtimes_Master!$A$2:$E$11, 2, 0)</f>
        <v>Kungfu Panda 4</v>
      </c>
      <c r="D87" s="16" t="str">
        <f ca="1">VLOOKUP(B87, Showtimes_Master!$A$2:$E$11, 3, 0)</f>
        <v>Beta Thái Nguyên</v>
      </c>
      <c r="E87" s="16">
        <f ca="1">VLOOKUP(B87,Showtimes_Master!$A$2:$E$11, 5, 0)</f>
        <v>100</v>
      </c>
      <c r="F87" s="16">
        <f t="shared" ca="1" si="4"/>
        <v>57</v>
      </c>
      <c r="G87" s="16">
        <f t="shared" ca="1" si="5"/>
        <v>85000</v>
      </c>
      <c r="H87" s="17">
        <f t="shared" ca="1" si="6"/>
        <v>4845000</v>
      </c>
      <c r="I87" s="14">
        <f t="shared" ca="1" si="7"/>
        <v>0.56999999999999995</v>
      </c>
    </row>
    <row r="88" spans="1:9" x14ac:dyDescent="0.2">
      <c r="A88" s="20">
        <v>46078</v>
      </c>
      <c r="B88" s="16" t="str" cm="1">
        <f t="array" aca="1" ref="B88" ca="1">INDEX(Showtimes_Master!$A$2:$A$11, RANDBETWEEN(1, 10))</f>
        <v>ST002</v>
      </c>
      <c r="C88" s="16" t="str">
        <f ca="1">VLOOKUP(B88, Showtimes_Master!$A$2:$E$11, 2, 0)</f>
        <v>Mai</v>
      </c>
      <c r="D88" s="16" t="str">
        <f ca="1">VLOOKUP(B88, Showtimes_Master!$A$2:$E$11, 3, 0)</f>
        <v>Beta Bình Thạnh</v>
      </c>
      <c r="E88" s="16">
        <f ca="1">VLOOKUP(B88,Showtimes_Master!$A$2:$E$11, 5, 0)</f>
        <v>120</v>
      </c>
      <c r="F88" s="16">
        <f t="shared" ca="1" si="4"/>
        <v>82</v>
      </c>
      <c r="G88" s="16">
        <f t="shared" ca="1" si="5"/>
        <v>90000</v>
      </c>
      <c r="H88" s="17">
        <f t="shared" ca="1" si="6"/>
        <v>7380000</v>
      </c>
      <c r="I88" s="14">
        <f t="shared" ca="1" si="7"/>
        <v>0.68333333333333335</v>
      </c>
    </row>
    <row r="89" spans="1:9" x14ac:dyDescent="0.2">
      <c r="A89" s="20">
        <v>46079</v>
      </c>
      <c r="B89" s="16" t="str" cm="1">
        <f t="array" aca="1" ref="B89" ca="1">INDEX(Showtimes_Master!$A$2:$A$11, RANDBETWEEN(1, 10))</f>
        <v>ST008</v>
      </c>
      <c r="C89" s="16" t="str">
        <f ca="1">VLOOKUP(B89, Showtimes_Master!$A$2:$E$11, 2, 0)</f>
        <v>Mai</v>
      </c>
      <c r="D89" s="16" t="str">
        <f ca="1">VLOOKUP(B89, Showtimes_Master!$A$2:$E$11, 3, 0)</f>
        <v>Beta Thái Nguyên</v>
      </c>
      <c r="E89" s="16">
        <f ca="1">VLOOKUP(B89,Showtimes_Master!$A$2:$E$11, 5, 0)</f>
        <v>100</v>
      </c>
      <c r="F89" s="16">
        <f t="shared" ca="1" si="4"/>
        <v>68</v>
      </c>
      <c r="G89" s="16">
        <f t="shared" ca="1" si="5"/>
        <v>90000</v>
      </c>
      <c r="H89" s="17">
        <f t="shared" ca="1" si="6"/>
        <v>6120000</v>
      </c>
      <c r="I89" s="14">
        <f t="shared" ca="1" si="7"/>
        <v>0.68</v>
      </c>
    </row>
    <row r="90" spans="1:9" x14ac:dyDescent="0.2">
      <c r="A90" s="20">
        <v>46080</v>
      </c>
      <c r="B90" s="16" t="str" cm="1">
        <f t="array" aca="1" ref="B90" ca="1">INDEX(Showtimes_Master!$A$2:$A$11, RANDBETWEEN(1, 10))</f>
        <v>ST009</v>
      </c>
      <c r="C90" s="16" t="str">
        <f ca="1">VLOOKUP(B90, Showtimes_Master!$A$2:$E$11, 2, 0)</f>
        <v>Dune: Part Two</v>
      </c>
      <c r="D90" s="16" t="str">
        <f ca="1">VLOOKUP(B90, Showtimes_Master!$A$2:$E$11, 3, 0)</f>
        <v>Beta Bình Thạnh</v>
      </c>
      <c r="E90" s="16">
        <f ca="1">VLOOKUP(B90,Showtimes_Master!$A$2:$E$11, 5, 0)</f>
        <v>120</v>
      </c>
      <c r="F90" s="16">
        <f t="shared" ca="1" si="4"/>
        <v>62</v>
      </c>
      <c r="G90" s="16">
        <f t="shared" ca="1" si="5"/>
        <v>85000</v>
      </c>
      <c r="H90" s="17">
        <f t="shared" ca="1" si="6"/>
        <v>5270000</v>
      </c>
      <c r="I90" s="14">
        <f t="shared" ca="1" si="7"/>
        <v>0.51666666666666672</v>
      </c>
    </row>
    <row r="91" spans="1:9" x14ac:dyDescent="0.2">
      <c r="A91" s="20">
        <v>46081</v>
      </c>
      <c r="B91" s="16" t="str" cm="1">
        <f t="array" aca="1" ref="B91" ca="1">INDEX(Showtimes_Master!$A$2:$A$11, RANDBETWEEN(1, 10))</f>
        <v>ST008</v>
      </c>
      <c r="C91" s="16" t="str">
        <f ca="1">VLOOKUP(B91, Showtimes_Master!$A$2:$E$11, 2, 0)</f>
        <v>Mai</v>
      </c>
      <c r="D91" s="16" t="str">
        <f ca="1">VLOOKUP(B91, Showtimes_Master!$A$2:$E$11, 3, 0)</f>
        <v>Beta Thái Nguyên</v>
      </c>
      <c r="E91" s="16">
        <f ca="1">VLOOKUP(B91,Showtimes_Master!$A$2:$E$11, 5, 0)</f>
        <v>100</v>
      </c>
      <c r="F91" s="16">
        <f t="shared" ca="1" si="4"/>
        <v>80</v>
      </c>
      <c r="G91" s="16">
        <f t="shared" ca="1" si="5"/>
        <v>85000</v>
      </c>
      <c r="H91" s="17">
        <f t="shared" ca="1" si="6"/>
        <v>6800000</v>
      </c>
      <c r="I91" s="14">
        <f t="shared" ca="1" si="7"/>
        <v>0.8</v>
      </c>
    </row>
  </sheetData>
  <phoneticPr fontId="2" type="noConversion"/>
  <pageMargins left="0.7" right="0.7" top="0.75" bottom="0.75" header="0.3" footer="0.3"/>
  <pageSetup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0ED817-3609-204C-A075-18F67F1897D8}">
  <sheetPr codeName="Sheet5">
    <tabColor theme="5"/>
  </sheetPr>
  <dimension ref="A2:AH21"/>
  <sheetViews>
    <sheetView zoomScale="50" zoomScaleNormal="110" workbookViewId="0">
      <selection activeCell="L64" sqref="L64"/>
    </sheetView>
  </sheetViews>
  <sheetFormatPr baseColWidth="10" defaultRowHeight="16" x14ac:dyDescent="0.2"/>
  <cols>
    <col min="1" max="1" width="26" bestFit="1" customWidth="1"/>
    <col min="2" max="2" width="25.33203125" bestFit="1" customWidth="1"/>
    <col min="3" max="4" width="11" bestFit="1" customWidth="1"/>
    <col min="5" max="5" width="9.33203125" bestFit="1" customWidth="1"/>
    <col min="6" max="6" width="23.83203125" bestFit="1" customWidth="1"/>
    <col min="7" max="9" width="8.6640625" bestFit="1" customWidth="1"/>
    <col min="10" max="10" width="21.83203125" bestFit="1" customWidth="1"/>
    <col min="11" max="13" width="19.5" bestFit="1" customWidth="1"/>
    <col min="14" max="14" width="31.6640625" bestFit="1" customWidth="1"/>
    <col min="15" max="15" width="30.1640625" bestFit="1" customWidth="1"/>
    <col min="16" max="16" width="28.33203125" bestFit="1" customWidth="1"/>
    <col min="17" max="65" width="4.1640625" bestFit="1" customWidth="1"/>
    <col min="66" max="66" width="18.33203125" bestFit="1" customWidth="1"/>
    <col min="67" max="69" width="4.6640625" bestFit="1" customWidth="1"/>
    <col min="70" max="71" width="5.6640625" bestFit="1" customWidth="1"/>
    <col min="72" max="77" width="4.6640625" bestFit="1" customWidth="1"/>
    <col min="78" max="78" width="5.6640625" bestFit="1" customWidth="1"/>
    <col min="79" max="79" width="4.6640625" bestFit="1" customWidth="1"/>
    <col min="80" max="81" width="5.6640625" bestFit="1" customWidth="1"/>
    <col min="82" max="83" width="4.6640625" bestFit="1" customWidth="1"/>
    <col min="84" max="86" width="5.6640625" bestFit="1" customWidth="1"/>
    <col min="87" max="87" width="4.6640625" bestFit="1" customWidth="1"/>
    <col min="88" max="91" width="5.6640625" bestFit="1" customWidth="1"/>
    <col min="92" max="92" width="4.6640625" bestFit="1" customWidth="1"/>
    <col min="93" max="93" width="5.6640625" bestFit="1" customWidth="1"/>
    <col min="94" max="96" width="4.6640625" bestFit="1" customWidth="1"/>
    <col min="97" max="97" width="5.6640625" bestFit="1" customWidth="1"/>
    <col min="98" max="99" width="4.6640625" bestFit="1" customWidth="1"/>
    <col min="100" max="100" width="5.6640625" bestFit="1" customWidth="1"/>
    <col min="101" max="103" width="4.6640625" bestFit="1" customWidth="1"/>
    <col min="104" max="104" width="5.6640625" bestFit="1" customWidth="1"/>
    <col min="105" max="106" width="4.6640625" bestFit="1" customWidth="1"/>
    <col min="107" max="107" width="5.6640625" bestFit="1" customWidth="1"/>
    <col min="108" max="109" width="4.6640625" bestFit="1" customWidth="1"/>
    <col min="110" max="110" width="5.6640625" bestFit="1" customWidth="1"/>
    <col min="111" max="116" width="4.6640625" bestFit="1" customWidth="1"/>
    <col min="117" max="117" width="5.6640625" bestFit="1" customWidth="1"/>
    <col min="118" max="118" width="4.6640625" bestFit="1" customWidth="1"/>
    <col min="119" max="119" width="5.6640625" bestFit="1" customWidth="1"/>
    <col min="120" max="129" width="4.6640625" bestFit="1" customWidth="1"/>
    <col min="130" max="130" width="20.6640625" bestFit="1" customWidth="1"/>
    <col min="131" max="131" width="22.83203125" bestFit="1" customWidth="1"/>
    <col min="132" max="152" width="4.6640625" bestFit="1" customWidth="1"/>
    <col min="153" max="153" width="5.6640625" bestFit="1" customWidth="1"/>
    <col min="154" max="154" width="21.6640625" bestFit="1" customWidth="1"/>
    <col min="155" max="155" width="20.6640625" bestFit="1" customWidth="1"/>
  </cols>
  <sheetData>
    <row r="2" spans="1:34" x14ac:dyDescent="0.2">
      <c r="R2" s="5"/>
      <c r="S2" s="5"/>
      <c r="T2" s="5"/>
      <c r="U2" s="5"/>
      <c r="V2" s="5"/>
      <c r="W2" s="5"/>
      <c r="X2" s="5"/>
      <c r="Y2" s="5"/>
      <c r="Z2" s="5"/>
      <c r="AA2" s="5"/>
      <c r="AB2" s="5"/>
      <c r="AC2" s="5"/>
      <c r="AD2" s="5"/>
      <c r="AE2" s="5"/>
      <c r="AF2" s="5"/>
      <c r="AG2" s="5"/>
      <c r="AH2" s="5"/>
    </row>
    <row r="3" spans="1:34" ht="27" x14ac:dyDescent="0.35">
      <c r="A3" s="1"/>
      <c r="B3" s="6" t="s">
        <v>52</v>
      </c>
      <c r="C3" s="7"/>
      <c r="D3" s="7"/>
      <c r="E3" s="7"/>
      <c r="F3" s="7"/>
      <c r="G3" s="7"/>
      <c r="H3" s="7"/>
      <c r="I3" s="7"/>
      <c r="J3" s="7"/>
      <c r="K3" s="7"/>
      <c r="L3" s="7"/>
      <c r="M3" s="7"/>
      <c r="N3" s="7"/>
      <c r="O3" s="7"/>
      <c r="P3" s="7"/>
      <c r="R3" s="5"/>
      <c r="S3" s="5"/>
      <c r="T3" s="5"/>
      <c r="U3" s="5"/>
      <c r="V3" s="5"/>
      <c r="W3" s="5"/>
      <c r="X3" s="5"/>
      <c r="Y3" s="5"/>
      <c r="Z3" s="5"/>
      <c r="AA3" s="5"/>
      <c r="AB3" s="5"/>
      <c r="AC3" s="5"/>
      <c r="AD3" s="5"/>
      <c r="AE3" s="5"/>
      <c r="AF3" s="5"/>
      <c r="AG3" s="5"/>
      <c r="AH3" s="5"/>
    </row>
    <row r="4" spans="1:34" ht="27" x14ac:dyDescent="0.35">
      <c r="A4" s="1"/>
      <c r="B4" s="7" t="s">
        <v>50</v>
      </c>
      <c r="C4" s="7"/>
      <c r="D4" s="7"/>
      <c r="E4" s="7"/>
      <c r="F4" s="7" t="s">
        <v>55</v>
      </c>
      <c r="G4" s="7"/>
      <c r="H4" s="7"/>
      <c r="I4" s="7"/>
      <c r="J4" s="7" t="s">
        <v>51</v>
      </c>
      <c r="K4" s="7"/>
      <c r="L4" s="7"/>
      <c r="M4" s="7"/>
      <c r="N4" s="7" t="s">
        <v>53</v>
      </c>
      <c r="O4" s="7" t="s">
        <v>54</v>
      </c>
      <c r="P4" s="7" t="s">
        <v>56</v>
      </c>
      <c r="R4" s="5"/>
      <c r="S4" s="5"/>
      <c r="T4" s="5"/>
      <c r="U4" s="5"/>
      <c r="V4" s="5"/>
      <c r="W4" s="5"/>
      <c r="X4" s="5"/>
      <c r="Y4" s="5"/>
      <c r="Z4" s="5"/>
      <c r="AA4" s="5"/>
      <c r="AB4" s="5"/>
      <c r="AC4" s="5"/>
      <c r="AD4" s="5"/>
      <c r="AE4" s="5"/>
      <c r="AF4" s="5"/>
      <c r="AG4" s="5"/>
      <c r="AH4" s="5"/>
    </row>
    <row r="5" spans="1:34" ht="27" x14ac:dyDescent="0.35">
      <c r="A5" s="2" t="s">
        <v>48</v>
      </c>
      <c r="B5" s="7">
        <v>100</v>
      </c>
      <c r="C5" s="7">
        <v>120</v>
      </c>
      <c r="D5" s="7">
        <v>150</v>
      </c>
      <c r="E5" s="7">
        <v>250</v>
      </c>
      <c r="F5" s="7">
        <v>100</v>
      </c>
      <c r="G5" s="7">
        <v>120</v>
      </c>
      <c r="H5" s="7">
        <v>150</v>
      </c>
      <c r="I5" s="7">
        <v>250</v>
      </c>
      <c r="J5" s="7">
        <v>100</v>
      </c>
      <c r="K5" s="7">
        <v>120</v>
      </c>
      <c r="L5" s="7">
        <v>150</v>
      </c>
      <c r="M5" s="7">
        <v>250</v>
      </c>
      <c r="N5" s="7"/>
      <c r="O5" s="7"/>
      <c r="P5" s="7"/>
      <c r="R5" s="5"/>
      <c r="S5" s="5"/>
      <c r="T5" s="5"/>
      <c r="U5" s="5"/>
      <c r="V5" s="5"/>
      <c r="W5" s="5"/>
      <c r="X5" s="5"/>
      <c r="Y5" s="5"/>
      <c r="Z5" s="5"/>
      <c r="AA5" s="5"/>
      <c r="AB5" s="5"/>
      <c r="AC5" s="5"/>
      <c r="AD5" s="5"/>
      <c r="AE5" s="5"/>
      <c r="AF5" s="5"/>
      <c r="AG5" s="5"/>
      <c r="AH5" s="5"/>
    </row>
    <row r="6" spans="1:34" ht="27" x14ac:dyDescent="0.35">
      <c r="A6" s="3" t="s">
        <v>33</v>
      </c>
      <c r="B6" s="8"/>
      <c r="C6" s="8">
        <v>13.608333333333334</v>
      </c>
      <c r="D6" s="8"/>
      <c r="E6" s="8"/>
      <c r="F6" s="7"/>
      <c r="G6" s="7">
        <v>1633</v>
      </c>
      <c r="H6" s="7"/>
      <c r="I6" s="7"/>
      <c r="J6" s="9"/>
      <c r="K6" s="9">
        <v>156375000</v>
      </c>
      <c r="L6" s="9"/>
      <c r="M6" s="9"/>
      <c r="N6" s="8">
        <v>13.608333333333334</v>
      </c>
      <c r="O6" s="7">
        <v>1633</v>
      </c>
      <c r="P6" s="9">
        <v>156375000</v>
      </c>
      <c r="R6" s="5"/>
      <c r="S6" s="5"/>
      <c r="T6" s="5"/>
      <c r="U6" s="5"/>
      <c r="V6" s="5"/>
      <c r="W6" s="5"/>
      <c r="X6" s="5"/>
      <c r="Y6" s="5"/>
      <c r="Z6" s="5"/>
      <c r="AA6" s="5"/>
      <c r="AB6" s="5"/>
      <c r="AC6" s="5"/>
      <c r="AD6" s="5"/>
      <c r="AE6" s="5"/>
      <c r="AF6" s="5"/>
      <c r="AG6" s="5"/>
      <c r="AH6" s="5"/>
    </row>
    <row r="7" spans="1:34" ht="27" x14ac:dyDescent="0.35">
      <c r="A7" s="4" t="s">
        <v>8</v>
      </c>
      <c r="B7" s="8"/>
      <c r="C7" s="8">
        <v>5.6833333333333336</v>
      </c>
      <c r="D7" s="8"/>
      <c r="E7" s="8"/>
      <c r="F7" s="7"/>
      <c r="G7" s="7">
        <v>682</v>
      </c>
      <c r="H7" s="7"/>
      <c r="I7" s="7"/>
      <c r="J7" s="9"/>
      <c r="K7" s="9">
        <v>56850000</v>
      </c>
      <c r="L7" s="9"/>
      <c r="M7" s="9"/>
      <c r="N7" s="8">
        <v>5.6833333333333336</v>
      </c>
      <c r="O7" s="7">
        <v>682</v>
      </c>
      <c r="P7" s="9">
        <v>56850000</v>
      </c>
      <c r="R7" s="5"/>
      <c r="S7" s="5"/>
      <c r="T7" s="5"/>
      <c r="U7" s="5"/>
      <c r="V7" s="5"/>
      <c r="W7" s="5"/>
      <c r="X7" s="5"/>
      <c r="Y7" s="5"/>
      <c r="Z7" s="5"/>
      <c r="AA7" s="5"/>
      <c r="AB7" s="5"/>
      <c r="AC7" s="5"/>
      <c r="AD7" s="5"/>
      <c r="AE7" s="5"/>
      <c r="AF7" s="5"/>
      <c r="AG7" s="5"/>
      <c r="AH7" s="5"/>
    </row>
    <row r="8" spans="1:34" ht="27" x14ac:dyDescent="0.35">
      <c r="A8" s="4" t="s">
        <v>4</v>
      </c>
      <c r="B8" s="8"/>
      <c r="C8" s="8">
        <v>7.9249999999999998</v>
      </c>
      <c r="D8" s="8"/>
      <c r="E8" s="8"/>
      <c r="F8" s="7"/>
      <c r="G8" s="7">
        <v>951</v>
      </c>
      <c r="H8" s="7"/>
      <c r="I8" s="7"/>
      <c r="J8" s="9"/>
      <c r="K8" s="9">
        <v>99525000</v>
      </c>
      <c r="L8" s="9"/>
      <c r="M8" s="9"/>
      <c r="N8" s="8">
        <v>7.9249999999999998</v>
      </c>
      <c r="O8" s="7">
        <v>951</v>
      </c>
      <c r="P8" s="9">
        <v>99525000</v>
      </c>
      <c r="R8" s="5"/>
      <c r="S8" s="5"/>
      <c r="T8" s="5"/>
      <c r="U8" s="5"/>
      <c r="V8" s="5"/>
      <c r="W8" s="5"/>
      <c r="X8" s="5"/>
      <c r="Y8" s="5"/>
      <c r="Z8" s="5"/>
      <c r="AA8" s="5"/>
      <c r="AB8" s="5"/>
      <c r="AC8" s="5"/>
      <c r="AD8" s="5"/>
      <c r="AE8" s="5"/>
      <c r="AF8" s="5"/>
      <c r="AG8" s="5"/>
      <c r="AH8" s="5"/>
    </row>
    <row r="9" spans="1:34" ht="27" x14ac:dyDescent="0.35">
      <c r="A9" s="3" t="s">
        <v>30</v>
      </c>
      <c r="B9" s="8"/>
      <c r="C9" s="8"/>
      <c r="D9" s="8">
        <v>17.306666666666665</v>
      </c>
      <c r="E9" s="8">
        <v>6.6479999999999997</v>
      </c>
      <c r="F9" s="7"/>
      <c r="G9" s="7"/>
      <c r="H9" s="7">
        <v>2596</v>
      </c>
      <c r="I9" s="7">
        <v>1662</v>
      </c>
      <c r="J9" s="9"/>
      <c r="K9" s="9"/>
      <c r="L9" s="9">
        <v>243355000</v>
      </c>
      <c r="M9" s="9">
        <v>142125000</v>
      </c>
      <c r="N9" s="8">
        <v>23.954666666666668</v>
      </c>
      <c r="O9" s="7">
        <v>4258</v>
      </c>
      <c r="P9" s="9">
        <v>385480000</v>
      </c>
      <c r="R9" s="5"/>
      <c r="S9" s="5"/>
      <c r="T9" s="5"/>
      <c r="U9" s="5"/>
      <c r="V9" s="5"/>
      <c r="W9" s="5"/>
      <c r="X9" s="5"/>
      <c r="Y9" s="5"/>
      <c r="Z9" s="5"/>
      <c r="AA9" s="5"/>
      <c r="AB9" s="5"/>
      <c r="AC9" s="5"/>
      <c r="AD9" s="5"/>
      <c r="AE9" s="5"/>
      <c r="AF9" s="5"/>
      <c r="AG9" s="5"/>
      <c r="AH9" s="5"/>
    </row>
    <row r="10" spans="1:34" ht="27" x14ac:dyDescent="0.35">
      <c r="A10" s="4" t="s">
        <v>8</v>
      </c>
      <c r="B10" s="8"/>
      <c r="C10" s="8"/>
      <c r="D10" s="8"/>
      <c r="E10" s="8">
        <v>6.6479999999999997</v>
      </c>
      <c r="F10" s="7"/>
      <c r="G10" s="7"/>
      <c r="H10" s="7"/>
      <c r="I10" s="7">
        <v>1662</v>
      </c>
      <c r="J10" s="9"/>
      <c r="K10" s="9"/>
      <c r="L10" s="9"/>
      <c r="M10" s="9">
        <v>142125000</v>
      </c>
      <c r="N10" s="8">
        <v>6.6479999999999997</v>
      </c>
      <c r="O10" s="7">
        <v>1662</v>
      </c>
      <c r="P10" s="9">
        <v>142125000</v>
      </c>
      <c r="R10" s="5"/>
      <c r="S10" s="5"/>
      <c r="T10" s="5"/>
      <c r="U10" s="5"/>
      <c r="V10" s="5"/>
      <c r="W10" s="5"/>
      <c r="X10" s="5"/>
      <c r="Y10" s="5"/>
      <c r="Z10" s="5"/>
      <c r="AA10" s="5"/>
      <c r="AB10" s="5"/>
      <c r="AC10" s="5"/>
      <c r="AD10" s="5"/>
      <c r="AE10" s="5"/>
      <c r="AF10" s="5"/>
      <c r="AG10" s="5"/>
      <c r="AH10" s="5"/>
    </row>
    <row r="11" spans="1:34" ht="27" x14ac:dyDescent="0.35">
      <c r="A11" s="4" t="s">
        <v>24</v>
      </c>
      <c r="B11" s="8"/>
      <c r="C11" s="8"/>
      <c r="D11" s="8">
        <v>6.78</v>
      </c>
      <c r="E11" s="8"/>
      <c r="F11" s="7"/>
      <c r="G11" s="7"/>
      <c r="H11" s="7">
        <v>1017</v>
      </c>
      <c r="I11" s="7"/>
      <c r="J11" s="9"/>
      <c r="K11" s="9"/>
      <c r="L11" s="9">
        <v>101425000</v>
      </c>
      <c r="M11" s="9"/>
      <c r="N11" s="8">
        <v>6.78</v>
      </c>
      <c r="O11" s="7">
        <v>1017</v>
      </c>
      <c r="P11" s="9">
        <v>101425000</v>
      </c>
      <c r="R11" s="5"/>
      <c r="S11" s="5"/>
      <c r="T11" s="5"/>
      <c r="U11" s="5"/>
      <c r="V11" s="5"/>
      <c r="W11" s="5"/>
      <c r="X11" s="5"/>
      <c r="Y11" s="5"/>
      <c r="Z11" s="5"/>
      <c r="AA11" s="5"/>
      <c r="AB11" s="5"/>
      <c r="AC11" s="5"/>
      <c r="AD11" s="5"/>
      <c r="AE11" s="5"/>
      <c r="AF11" s="5"/>
      <c r="AG11" s="5"/>
      <c r="AH11" s="5"/>
    </row>
    <row r="12" spans="1:34" ht="27" x14ac:dyDescent="0.35">
      <c r="A12" s="4" t="s">
        <v>6</v>
      </c>
      <c r="B12" s="8"/>
      <c r="C12" s="8"/>
      <c r="D12" s="8">
        <v>4.3</v>
      </c>
      <c r="E12" s="8"/>
      <c r="F12" s="7"/>
      <c r="G12" s="7"/>
      <c r="H12" s="7">
        <v>645</v>
      </c>
      <c r="I12" s="7"/>
      <c r="J12" s="9"/>
      <c r="K12" s="9"/>
      <c r="L12" s="9">
        <v>59430000</v>
      </c>
      <c r="M12" s="9"/>
      <c r="N12" s="8">
        <v>4.3</v>
      </c>
      <c r="O12" s="7">
        <v>645</v>
      </c>
      <c r="P12" s="9">
        <v>59430000</v>
      </c>
      <c r="R12" s="5"/>
      <c r="S12" s="5"/>
      <c r="T12" s="5"/>
      <c r="U12" s="5"/>
      <c r="V12" s="5"/>
      <c r="W12" s="5"/>
      <c r="X12" s="5"/>
      <c r="Y12" s="5"/>
      <c r="Z12" s="5"/>
      <c r="AA12" s="5"/>
      <c r="AB12" s="5"/>
      <c r="AC12" s="5"/>
      <c r="AD12" s="5"/>
      <c r="AE12" s="5"/>
      <c r="AF12" s="5"/>
      <c r="AG12" s="5"/>
      <c r="AH12" s="5"/>
    </row>
    <row r="13" spans="1:34" ht="27" x14ac:dyDescent="0.35">
      <c r="A13" s="4" t="s">
        <v>4</v>
      </c>
      <c r="B13" s="8"/>
      <c r="C13" s="8"/>
      <c r="D13" s="8">
        <v>6.2266666666666666</v>
      </c>
      <c r="E13" s="8"/>
      <c r="F13" s="7"/>
      <c r="G13" s="7"/>
      <c r="H13" s="7">
        <v>934</v>
      </c>
      <c r="I13" s="7"/>
      <c r="J13" s="9"/>
      <c r="K13" s="9"/>
      <c r="L13" s="9">
        <v>82500000</v>
      </c>
      <c r="M13" s="9"/>
      <c r="N13" s="8">
        <v>6.2266666666666666</v>
      </c>
      <c r="O13" s="7">
        <v>934</v>
      </c>
      <c r="P13" s="9">
        <v>82500000</v>
      </c>
      <c r="R13" s="5"/>
      <c r="S13" s="5"/>
      <c r="T13" s="5"/>
      <c r="U13" s="5"/>
      <c r="V13" s="5"/>
      <c r="W13" s="5"/>
      <c r="X13" s="5"/>
      <c r="Y13" s="5"/>
      <c r="Z13" s="5"/>
      <c r="AA13" s="5"/>
      <c r="AB13" s="5"/>
      <c r="AC13" s="5"/>
      <c r="AD13" s="5"/>
      <c r="AE13" s="5"/>
      <c r="AF13" s="5"/>
      <c r="AG13" s="5"/>
      <c r="AH13" s="5"/>
    </row>
    <row r="14" spans="1:34" ht="27" x14ac:dyDescent="0.35">
      <c r="A14" s="3" t="s">
        <v>41</v>
      </c>
      <c r="B14" s="8"/>
      <c r="C14" s="8"/>
      <c r="D14" s="8">
        <v>5.52</v>
      </c>
      <c r="E14" s="8"/>
      <c r="F14" s="7"/>
      <c r="G14" s="7"/>
      <c r="H14" s="7">
        <v>828</v>
      </c>
      <c r="I14" s="7"/>
      <c r="J14" s="9"/>
      <c r="K14" s="9"/>
      <c r="L14" s="9">
        <v>76660000</v>
      </c>
      <c r="M14" s="9"/>
      <c r="N14" s="8">
        <v>5.52</v>
      </c>
      <c r="O14" s="7">
        <v>828</v>
      </c>
      <c r="P14" s="9">
        <v>76660000</v>
      </c>
      <c r="R14" s="5"/>
      <c r="S14" s="5"/>
      <c r="T14" s="5"/>
      <c r="U14" s="5"/>
      <c r="V14" s="5"/>
      <c r="W14" s="5"/>
      <c r="X14" s="5"/>
      <c r="Y14" s="5"/>
      <c r="Z14" s="5"/>
      <c r="AA14" s="5"/>
      <c r="AB14" s="5"/>
      <c r="AC14" s="5"/>
      <c r="AD14" s="5"/>
      <c r="AE14" s="5"/>
      <c r="AF14" s="5"/>
      <c r="AG14" s="5"/>
      <c r="AH14" s="5"/>
    </row>
    <row r="15" spans="1:34" ht="27" x14ac:dyDescent="0.35">
      <c r="A15" s="4" t="s">
        <v>22</v>
      </c>
      <c r="B15" s="8"/>
      <c r="C15" s="8"/>
      <c r="D15" s="8">
        <v>5.52</v>
      </c>
      <c r="E15" s="8"/>
      <c r="F15" s="7"/>
      <c r="G15" s="7"/>
      <c r="H15" s="7">
        <v>828</v>
      </c>
      <c r="I15" s="7"/>
      <c r="J15" s="9"/>
      <c r="K15" s="9"/>
      <c r="L15" s="9">
        <v>76660000</v>
      </c>
      <c r="M15" s="9"/>
      <c r="N15" s="8">
        <v>5.52</v>
      </c>
      <c r="O15" s="7">
        <v>828</v>
      </c>
      <c r="P15" s="9">
        <v>76660000</v>
      </c>
      <c r="R15" s="5"/>
      <c r="S15" s="5"/>
      <c r="T15" s="5"/>
      <c r="U15" s="5"/>
      <c r="V15" s="5"/>
      <c r="W15" s="5"/>
      <c r="X15" s="5"/>
      <c r="Y15" s="5"/>
      <c r="Z15" s="5"/>
      <c r="AA15" s="5"/>
      <c r="AB15" s="5"/>
      <c r="AC15" s="5"/>
      <c r="AD15" s="5"/>
      <c r="AE15" s="5"/>
      <c r="AF15" s="5"/>
      <c r="AG15" s="5"/>
      <c r="AH15" s="5"/>
    </row>
    <row r="16" spans="1:34" ht="27" x14ac:dyDescent="0.35">
      <c r="A16" s="3" t="s">
        <v>37</v>
      </c>
      <c r="B16" s="8">
        <v>14.25</v>
      </c>
      <c r="C16" s="8"/>
      <c r="D16" s="8"/>
      <c r="E16" s="8"/>
      <c r="F16" s="7">
        <v>1425</v>
      </c>
      <c r="G16" s="7"/>
      <c r="H16" s="7"/>
      <c r="I16" s="7"/>
      <c r="J16" s="9">
        <v>133190000</v>
      </c>
      <c r="K16" s="9"/>
      <c r="L16" s="9"/>
      <c r="M16" s="9"/>
      <c r="N16" s="8">
        <v>14.25</v>
      </c>
      <c r="O16" s="7">
        <v>1425</v>
      </c>
      <c r="P16" s="9">
        <v>133190000</v>
      </c>
      <c r="R16" s="5"/>
      <c r="S16" s="5"/>
      <c r="T16" s="5"/>
      <c r="U16" s="5"/>
      <c r="V16" s="5"/>
      <c r="W16" s="5"/>
      <c r="X16" s="5"/>
      <c r="Y16" s="5"/>
      <c r="Z16" s="5"/>
      <c r="AA16" s="5"/>
      <c r="AB16" s="5"/>
      <c r="AC16" s="5"/>
      <c r="AD16" s="5"/>
      <c r="AE16" s="5"/>
      <c r="AF16" s="5"/>
      <c r="AG16" s="5"/>
      <c r="AH16" s="5"/>
    </row>
    <row r="17" spans="1:34" ht="27" x14ac:dyDescent="0.35">
      <c r="A17" s="4" t="s">
        <v>6</v>
      </c>
      <c r="B17" s="8">
        <v>8.65</v>
      </c>
      <c r="C17" s="8"/>
      <c r="D17" s="8"/>
      <c r="E17" s="8"/>
      <c r="F17" s="7">
        <v>865</v>
      </c>
      <c r="G17" s="7"/>
      <c r="H17" s="7"/>
      <c r="I17" s="7"/>
      <c r="J17" s="9">
        <v>80650000</v>
      </c>
      <c r="K17" s="9"/>
      <c r="L17" s="9"/>
      <c r="M17" s="9"/>
      <c r="N17" s="8">
        <v>8.65</v>
      </c>
      <c r="O17" s="7">
        <v>865</v>
      </c>
      <c r="P17" s="9">
        <v>80650000</v>
      </c>
      <c r="R17" s="5"/>
      <c r="S17" s="5"/>
      <c r="T17" s="5"/>
      <c r="U17" s="5"/>
      <c r="V17" s="5"/>
      <c r="W17" s="5"/>
      <c r="X17" s="5"/>
      <c r="Y17" s="5"/>
      <c r="Z17" s="5"/>
      <c r="AA17" s="5"/>
      <c r="AB17" s="5"/>
      <c r="AC17" s="5"/>
      <c r="AD17" s="5"/>
      <c r="AE17" s="5"/>
      <c r="AF17" s="5"/>
      <c r="AG17" s="5"/>
      <c r="AH17" s="5"/>
    </row>
    <row r="18" spans="1:34" ht="27" x14ac:dyDescent="0.35">
      <c r="A18" s="4" t="s">
        <v>4</v>
      </c>
      <c r="B18" s="8">
        <v>5.6000000000000005</v>
      </c>
      <c r="C18" s="8"/>
      <c r="D18" s="8"/>
      <c r="E18" s="8"/>
      <c r="F18" s="7">
        <v>560</v>
      </c>
      <c r="G18" s="7"/>
      <c r="H18" s="7"/>
      <c r="I18" s="7"/>
      <c r="J18" s="9">
        <v>52540000</v>
      </c>
      <c r="K18" s="9"/>
      <c r="L18" s="9"/>
      <c r="M18" s="9"/>
      <c r="N18" s="8">
        <v>5.6000000000000005</v>
      </c>
      <c r="O18" s="7">
        <v>560</v>
      </c>
      <c r="P18" s="9">
        <v>52540000</v>
      </c>
      <c r="R18" s="5"/>
      <c r="S18" s="5"/>
      <c r="T18" s="5"/>
      <c r="U18" s="5"/>
      <c r="V18" s="5"/>
      <c r="W18" s="5"/>
      <c r="X18" s="5"/>
      <c r="Y18" s="5"/>
      <c r="Z18" s="5"/>
      <c r="AA18" s="5"/>
      <c r="AB18" s="5"/>
      <c r="AC18" s="5"/>
      <c r="AD18" s="5"/>
      <c r="AE18" s="5"/>
      <c r="AF18" s="5"/>
      <c r="AG18" s="5"/>
      <c r="AH18" s="5"/>
    </row>
    <row r="19" spans="1:34" ht="27" x14ac:dyDescent="0.35">
      <c r="A19" s="3" t="s">
        <v>39</v>
      </c>
      <c r="B19" s="8"/>
      <c r="C19" s="8">
        <v>6.0916666666666668</v>
      </c>
      <c r="D19" s="8"/>
      <c r="E19" s="8"/>
      <c r="F19" s="7"/>
      <c r="G19" s="7">
        <v>731</v>
      </c>
      <c r="H19" s="7"/>
      <c r="I19" s="7"/>
      <c r="J19" s="9"/>
      <c r="K19" s="9">
        <v>74880000</v>
      </c>
      <c r="L19" s="9"/>
      <c r="M19" s="9"/>
      <c r="N19" s="8">
        <v>6.0916666666666668</v>
      </c>
      <c r="O19" s="7">
        <v>731</v>
      </c>
      <c r="P19" s="9">
        <v>74880000</v>
      </c>
      <c r="R19" s="5"/>
      <c r="S19" s="5"/>
      <c r="T19" s="5"/>
      <c r="U19" s="5"/>
      <c r="V19" s="5"/>
      <c r="W19" s="5"/>
      <c r="X19" s="5"/>
      <c r="Y19" s="5"/>
      <c r="Z19" s="5"/>
      <c r="AA19" s="5"/>
      <c r="AB19" s="5"/>
      <c r="AC19" s="5"/>
      <c r="AD19" s="5"/>
      <c r="AE19" s="5"/>
      <c r="AF19" s="5"/>
      <c r="AG19" s="5"/>
      <c r="AH19" s="5"/>
    </row>
    <row r="20" spans="1:34" ht="27" x14ac:dyDescent="0.35">
      <c r="A20" s="4" t="s">
        <v>9</v>
      </c>
      <c r="B20" s="8"/>
      <c r="C20" s="8">
        <v>6.0916666666666668</v>
      </c>
      <c r="D20" s="8"/>
      <c r="E20" s="8"/>
      <c r="F20" s="7"/>
      <c r="G20" s="7">
        <v>731</v>
      </c>
      <c r="H20" s="7"/>
      <c r="I20" s="7"/>
      <c r="J20" s="9"/>
      <c r="K20" s="9">
        <v>74880000</v>
      </c>
      <c r="L20" s="9"/>
      <c r="M20" s="9"/>
      <c r="N20" s="8">
        <v>6.0916666666666668</v>
      </c>
      <c r="O20" s="7">
        <v>731</v>
      </c>
      <c r="P20" s="9">
        <v>74880000</v>
      </c>
      <c r="R20" s="5"/>
      <c r="S20" s="5"/>
      <c r="T20" s="5"/>
      <c r="U20" s="5"/>
      <c r="V20" s="5"/>
      <c r="W20" s="5"/>
      <c r="X20" s="5"/>
      <c r="Y20" s="5"/>
      <c r="Z20" s="5"/>
      <c r="AA20" s="5"/>
      <c r="AB20" s="5"/>
      <c r="AC20" s="5"/>
      <c r="AD20" s="5"/>
      <c r="AE20" s="5"/>
      <c r="AF20" s="5"/>
      <c r="AG20" s="5"/>
      <c r="AH20" s="5"/>
    </row>
    <row r="21" spans="1:34" ht="27" x14ac:dyDescent="0.35">
      <c r="A21" s="3" t="s">
        <v>49</v>
      </c>
      <c r="B21" s="8">
        <v>14.25</v>
      </c>
      <c r="C21" s="8">
        <v>19.700000000000003</v>
      </c>
      <c r="D21" s="8">
        <v>22.826666666666664</v>
      </c>
      <c r="E21" s="8">
        <v>6.6479999999999997</v>
      </c>
      <c r="F21" s="7">
        <v>1425</v>
      </c>
      <c r="G21" s="7">
        <v>2364</v>
      </c>
      <c r="H21" s="7">
        <v>3424</v>
      </c>
      <c r="I21" s="7">
        <v>1662</v>
      </c>
      <c r="J21" s="9">
        <v>133190000</v>
      </c>
      <c r="K21" s="9">
        <v>231255000</v>
      </c>
      <c r="L21" s="9">
        <v>320015000</v>
      </c>
      <c r="M21" s="9">
        <v>142125000</v>
      </c>
      <c r="N21" s="8">
        <v>63.424666666666667</v>
      </c>
      <c r="O21" s="7">
        <v>8875</v>
      </c>
      <c r="P21" s="9">
        <v>826585000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B4639-D3ED-1E48-82B0-9EE7E0C0D802}">
  <sheetPr codeName="Sheet6">
    <tabColor theme="1"/>
  </sheetPr>
  <dimension ref="B1:J50"/>
  <sheetViews>
    <sheetView topLeftCell="B1" zoomScale="70" zoomScaleNormal="70" workbookViewId="0">
      <selection activeCell="D3" sqref="D3"/>
    </sheetView>
  </sheetViews>
  <sheetFormatPr baseColWidth="10" defaultRowHeight="16" x14ac:dyDescent="0.2"/>
  <cols>
    <col min="1" max="1" width="10.83203125" style="15"/>
    <col min="2" max="2" width="15" style="15" customWidth="1"/>
    <col min="3" max="3" width="22.1640625" style="15" customWidth="1"/>
    <col min="4" max="4" width="26" style="15" customWidth="1"/>
    <col min="5" max="5" width="22.5" style="15" customWidth="1"/>
    <col min="6" max="6" width="21.83203125" style="15" customWidth="1"/>
    <col min="7" max="7" width="19.33203125" style="15" customWidth="1"/>
    <col min="8" max="9" width="18.33203125" style="15" customWidth="1"/>
    <col min="10" max="10" width="23.1640625" style="15" customWidth="1"/>
    <col min="11" max="16384" width="10.83203125" style="15"/>
  </cols>
  <sheetData>
    <row r="1" spans="2:10" ht="17" thickBot="1" x14ac:dyDescent="0.25"/>
    <row r="2" spans="2:10" ht="24" thickBot="1" x14ac:dyDescent="0.25">
      <c r="B2" s="39" t="s">
        <v>58</v>
      </c>
      <c r="C2" s="40" t="s">
        <v>25</v>
      </c>
      <c r="D2" s="40" t="s">
        <v>26</v>
      </c>
      <c r="E2" s="40" t="s">
        <v>0</v>
      </c>
      <c r="F2" s="40" t="s">
        <v>27</v>
      </c>
      <c r="G2" s="40" t="s">
        <v>2</v>
      </c>
      <c r="H2" s="40" t="s">
        <v>3</v>
      </c>
      <c r="I2" s="41" t="s">
        <v>46</v>
      </c>
      <c r="J2" s="42" t="s">
        <v>47</v>
      </c>
    </row>
    <row r="3" spans="2:10" ht="23" x14ac:dyDescent="0.25">
      <c r="B3" s="34"/>
      <c r="C3" s="34"/>
      <c r="D3" s="34" t="s">
        <v>4</v>
      </c>
      <c r="E3" s="34"/>
      <c r="F3" s="34"/>
      <c r="G3" s="34"/>
      <c r="H3" s="34"/>
      <c r="I3" s="43"/>
      <c r="J3" s="43"/>
    </row>
    <row r="12" spans="2:10" ht="17" thickBot="1" x14ac:dyDescent="0.25"/>
    <row r="13" spans="2:10" ht="26" thickBot="1" x14ac:dyDescent="0.25">
      <c r="B13" s="35" t="s">
        <v>57</v>
      </c>
    </row>
    <row r="16" spans="2:10" ht="17" thickBot="1" x14ac:dyDescent="0.25"/>
    <row r="17" spans="2:10" ht="19" thickBot="1" x14ac:dyDescent="0.25">
      <c r="B17" s="19" t="s">
        <v>58</v>
      </c>
      <c r="C17" s="10" t="s">
        <v>25</v>
      </c>
      <c r="D17" s="10" t="s">
        <v>26</v>
      </c>
      <c r="E17" s="10" t="s">
        <v>0</v>
      </c>
      <c r="F17" s="10" t="s">
        <v>27</v>
      </c>
      <c r="G17" s="10" t="s">
        <v>2</v>
      </c>
      <c r="H17" s="10" t="s">
        <v>3</v>
      </c>
      <c r="I17" s="36" t="s">
        <v>46</v>
      </c>
      <c r="J17" s="38" t="s">
        <v>47</v>
      </c>
    </row>
    <row r="18" spans="2:10" ht="18" x14ac:dyDescent="0.2">
      <c r="B18" s="20">
        <v>45992</v>
      </c>
      <c r="C18" s="12" t="s">
        <v>29</v>
      </c>
      <c r="D18" s="12" t="s">
        <v>4</v>
      </c>
      <c r="E18" s="12" t="s">
        <v>30</v>
      </c>
      <c r="F18" s="12">
        <v>150</v>
      </c>
      <c r="G18" s="12">
        <v>135</v>
      </c>
      <c r="H18" s="12">
        <v>90000</v>
      </c>
      <c r="I18" s="13">
        <v>12150000</v>
      </c>
      <c r="J18" s="37">
        <v>0.9</v>
      </c>
    </row>
    <row r="19" spans="2:10" ht="18" x14ac:dyDescent="0.2">
      <c r="B19" s="20">
        <v>45994</v>
      </c>
      <c r="C19" s="16" t="s">
        <v>32</v>
      </c>
      <c r="D19" s="16" t="s">
        <v>4</v>
      </c>
      <c r="E19" s="16" t="s">
        <v>33</v>
      </c>
      <c r="F19" s="16">
        <v>120</v>
      </c>
      <c r="G19" s="16">
        <v>92</v>
      </c>
      <c r="H19" s="16">
        <v>90000</v>
      </c>
      <c r="I19" s="17">
        <v>8280000</v>
      </c>
      <c r="J19" s="14">
        <v>0.76666666666666672</v>
      </c>
    </row>
    <row r="20" spans="2:10" ht="18" x14ac:dyDescent="0.2">
      <c r="B20" s="20">
        <v>45996</v>
      </c>
      <c r="C20" s="16" t="s">
        <v>43</v>
      </c>
      <c r="D20" s="16" t="s">
        <v>4</v>
      </c>
      <c r="E20" s="16" t="s">
        <v>37</v>
      </c>
      <c r="F20" s="16">
        <v>100</v>
      </c>
      <c r="G20" s="16">
        <v>74</v>
      </c>
      <c r="H20" s="16">
        <v>75000</v>
      </c>
      <c r="I20" s="17">
        <v>5550000</v>
      </c>
      <c r="J20" s="14">
        <v>0.74</v>
      </c>
    </row>
    <row r="21" spans="2:10" ht="18" x14ac:dyDescent="0.2">
      <c r="B21" s="20">
        <v>45999</v>
      </c>
      <c r="C21" s="16" t="s">
        <v>43</v>
      </c>
      <c r="D21" s="16" t="s">
        <v>4</v>
      </c>
      <c r="E21" s="16" t="s">
        <v>37</v>
      </c>
      <c r="F21" s="16">
        <v>100</v>
      </c>
      <c r="G21" s="16">
        <v>58</v>
      </c>
      <c r="H21" s="16">
        <v>90000</v>
      </c>
      <c r="I21" s="17">
        <v>5220000</v>
      </c>
      <c r="J21" s="14">
        <v>0.57999999999999996</v>
      </c>
    </row>
    <row r="22" spans="2:10" ht="18" x14ac:dyDescent="0.2">
      <c r="B22" s="20">
        <v>46005</v>
      </c>
      <c r="C22" s="16" t="s">
        <v>32</v>
      </c>
      <c r="D22" s="16" t="s">
        <v>4</v>
      </c>
      <c r="E22" s="16" t="s">
        <v>33</v>
      </c>
      <c r="F22" s="16">
        <v>120</v>
      </c>
      <c r="G22" s="16">
        <v>52</v>
      </c>
      <c r="H22" s="16">
        <v>90000</v>
      </c>
      <c r="I22" s="17">
        <v>4680000</v>
      </c>
      <c r="J22" s="14">
        <v>0.43333333333333335</v>
      </c>
    </row>
    <row r="23" spans="2:10" ht="18" x14ac:dyDescent="0.2">
      <c r="B23" s="20">
        <v>46008</v>
      </c>
      <c r="C23" s="16" t="s">
        <v>43</v>
      </c>
      <c r="D23" s="16" t="s">
        <v>4</v>
      </c>
      <c r="E23" s="16" t="s">
        <v>37</v>
      </c>
      <c r="F23" s="16">
        <v>100</v>
      </c>
      <c r="G23" s="16">
        <v>54</v>
      </c>
      <c r="H23" s="16">
        <v>85000</v>
      </c>
      <c r="I23" s="17">
        <v>4590000</v>
      </c>
      <c r="J23" s="14">
        <v>0.54</v>
      </c>
    </row>
    <row r="24" spans="2:10" ht="18" x14ac:dyDescent="0.2">
      <c r="B24" s="20">
        <v>46010</v>
      </c>
      <c r="C24" s="16" t="s">
        <v>32</v>
      </c>
      <c r="D24" s="16" t="s">
        <v>4</v>
      </c>
      <c r="E24" s="16" t="s">
        <v>33</v>
      </c>
      <c r="F24" s="16">
        <v>120</v>
      </c>
      <c r="G24" s="16">
        <v>97</v>
      </c>
      <c r="H24" s="16">
        <v>75000</v>
      </c>
      <c r="I24" s="17">
        <v>7275000</v>
      </c>
      <c r="J24" s="14">
        <v>0.80833333333333335</v>
      </c>
    </row>
    <row r="25" spans="2:10" ht="18" x14ac:dyDescent="0.2">
      <c r="B25" s="20">
        <v>46015</v>
      </c>
      <c r="C25" s="16" t="s">
        <v>29</v>
      </c>
      <c r="D25" s="16" t="s">
        <v>4</v>
      </c>
      <c r="E25" s="16" t="s">
        <v>30</v>
      </c>
      <c r="F25" s="16">
        <v>150</v>
      </c>
      <c r="G25" s="16">
        <v>122</v>
      </c>
      <c r="H25" s="16">
        <v>90000</v>
      </c>
      <c r="I25" s="17">
        <v>10980000</v>
      </c>
      <c r="J25" s="14">
        <v>0.81333333333333335</v>
      </c>
    </row>
    <row r="26" spans="2:10" ht="18" x14ac:dyDescent="0.2">
      <c r="B26" s="20">
        <v>46016</v>
      </c>
      <c r="C26" s="16" t="s">
        <v>43</v>
      </c>
      <c r="D26" s="16" t="s">
        <v>4</v>
      </c>
      <c r="E26" s="16" t="s">
        <v>37</v>
      </c>
      <c r="F26" s="16">
        <v>100</v>
      </c>
      <c r="G26" s="16">
        <v>100</v>
      </c>
      <c r="H26" s="16">
        <v>90000</v>
      </c>
      <c r="I26" s="17">
        <v>9000000</v>
      </c>
      <c r="J26" s="14">
        <v>1</v>
      </c>
    </row>
    <row r="27" spans="2:10" ht="18" x14ac:dyDescent="0.2">
      <c r="B27" s="20">
        <v>46017</v>
      </c>
      <c r="C27" s="16" t="s">
        <v>43</v>
      </c>
      <c r="D27" s="16" t="s">
        <v>4</v>
      </c>
      <c r="E27" s="16" t="s">
        <v>37</v>
      </c>
      <c r="F27" s="16">
        <v>100</v>
      </c>
      <c r="G27" s="16">
        <v>91</v>
      </c>
      <c r="H27" s="16">
        <v>120000</v>
      </c>
      <c r="I27" s="17">
        <v>10920000</v>
      </c>
      <c r="J27" s="14">
        <v>0.91</v>
      </c>
    </row>
    <row r="28" spans="2:10" ht="18" x14ac:dyDescent="0.2">
      <c r="B28" s="20">
        <v>46020</v>
      </c>
      <c r="C28" s="16" t="s">
        <v>43</v>
      </c>
      <c r="D28" s="16" t="s">
        <v>4</v>
      </c>
      <c r="E28" s="16" t="s">
        <v>37</v>
      </c>
      <c r="F28" s="16">
        <v>100</v>
      </c>
      <c r="G28" s="16">
        <v>56</v>
      </c>
      <c r="H28" s="16">
        <v>75000</v>
      </c>
      <c r="I28" s="17">
        <v>4200000</v>
      </c>
      <c r="J28" s="14">
        <v>0.56000000000000005</v>
      </c>
    </row>
    <row r="29" spans="2:10" ht="18" x14ac:dyDescent="0.2">
      <c r="B29" s="20">
        <v>46021</v>
      </c>
      <c r="C29" s="16" t="s">
        <v>29</v>
      </c>
      <c r="D29" s="16" t="s">
        <v>4</v>
      </c>
      <c r="E29" s="16" t="s">
        <v>30</v>
      </c>
      <c r="F29" s="16">
        <v>150</v>
      </c>
      <c r="G29" s="16">
        <v>80</v>
      </c>
      <c r="H29" s="16">
        <v>75000</v>
      </c>
      <c r="I29" s="17">
        <v>6000000</v>
      </c>
      <c r="J29" s="14">
        <v>0.53333333333333333</v>
      </c>
    </row>
    <row r="30" spans="2:10" ht="18" x14ac:dyDescent="0.2">
      <c r="B30" s="20">
        <v>46026</v>
      </c>
      <c r="C30" s="16" t="s">
        <v>29</v>
      </c>
      <c r="D30" s="16" t="s">
        <v>4</v>
      </c>
      <c r="E30" s="16" t="s">
        <v>30</v>
      </c>
      <c r="F30" s="16">
        <v>150</v>
      </c>
      <c r="G30" s="16">
        <v>97</v>
      </c>
      <c r="H30" s="16">
        <v>85000</v>
      </c>
      <c r="I30" s="17">
        <v>8245000</v>
      </c>
      <c r="J30" s="14">
        <v>0.64666666666666661</v>
      </c>
    </row>
    <row r="31" spans="2:10" ht="18" x14ac:dyDescent="0.2">
      <c r="B31" s="20">
        <v>46027</v>
      </c>
      <c r="C31" s="16" t="s">
        <v>29</v>
      </c>
      <c r="D31" s="16" t="s">
        <v>4</v>
      </c>
      <c r="E31" s="16" t="s">
        <v>30</v>
      </c>
      <c r="F31" s="16">
        <v>150</v>
      </c>
      <c r="G31" s="16">
        <v>112</v>
      </c>
      <c r="H31" s="16">
        <v>90000</v>
      </c>
      <c r="I31" s="17">
        <v>10080000</v>
      </c>
      <c r="J31" s="14">
        <v>0.7466666666666667</v>
      </c>
    </row>
    <row r="32" spans="2:10" ht="18" x14ac:dyDescent="0.2">
      <c r="B32" s="20">
        <v>46028</v>
      </c>
      <c r="C32" s="16" t="s">
        <v>43</v>
      </c>
      <c r="D32" s="16" t="s">
        <v>4</v>
      </c>
      <c r="E32" s="16" t="s">
        <v>37</v>
      </c>
      <c r="F32" s="16">
        <v>100</v>
      </c>
      <c r="G32" s="16">
        <v>76</v>
      </c>
      <c r="H32" s="16">
        <v>90000</v>
      </c>
      <c r="I32" s="17">
        <v>6840000</v>
      </c>
      <c r="J32" s="14">
        <v>0.76</v>
      </c>
    </row>
    <row r="33" spans="2:10" ht="18" x14ac:dyDescent="0.2">
      <c r="B33" s="20">
        <v>46029</v>
      </c>
      <c r="C33" s="16" t="s">
        <v>43</v>
      </c>
      <c r="D33" s="16" t="s">
        <v>4</v>
      </c>
      <c r="E33" s="16" t="s">
        <v>37</v>
      </c>
      <c r="F33" s="16">
        <v>100</v>
      </c>
      <c r="G33" s="16">
        <v>85</v>
      </c>
      <c r="H33" s="16">
        <v>85000</v>
      </c>
      <c r="I33" s="17">
        <v>7225000</v>
      </c>
      <c r="J33" s="14">
        <v>0.85</v>
      </c>
    </row>
    <row r="34" spans="2:10" ht="18" x14ac:dyDescent="0.2">
      <c r="B34" s="20">
        <v>46031</v>
      </c>
      <c r="C34" s="16" t="s">
        <v>32</v>
      </c>
      <c r="D34" s="16" t="s">
        <v>4</v>
      </c>
      <c r="E34" s="16" t="s">
        <v>33</v>
      </c>
      <c r="F34" s="16">
        <v>120</v>
      </c>
      <c r="G34" s="16">
        <v>67</v>
      </c>
      <c r="H34" s="16">
        <v>120000</v>
      </c>
      <c r="I34" s="17">
        <v>8040000</v>
      </c>
      <c r="J34" s="14">
        <v>0.55833333333333335</v>
      </c>
    </row>
    <row r="35" spans="2:10" ht="18" x14ac:dyDescent="0.2">
      <c r="B35" s="20">
        <v>46032</v>
      </c>
      <c r="C35" s="16" t="s">
        <v>29</v>
      </c>
      <c r="D35" s="16" t="s">
        <v>4</v>
      </c>
      <c r="E35" s="16" t="s">
        <v>30</v>
      </c>
      <c r="F35" s="16">
        <v>150</v>
      </c>
      <c r="G35" s="16">
        <v>136</v>
      </c>
      <c r="H35" s="16">
        <v>120000</v>
      </c>
      <c r="I35" s="17">
        <v>16320000</v>
      </c>
      <c r="J35" s="14">
        <v>0.90666666666666662</v>
      </c>
    </row>
    <row r="36" spans="2:10" ht="18" x14ac:dyDescent="0.2">
      <c r="B36" s="20">
        <v>46039</v>
      </c>
      <c r="C36" s="16" t="s">
        <v>32</v>
      </c>
      <c r="D36" s="16" t="s">
        <v>4</v>
      </c>
      <c r="E36" s="16" t="s">
        <v>33</v>
      </c>
      <c r="F36" s="16">
        <v>120</v>
      </c>
      <c r="G36" s="16">
        <v>116</v>
      </c>
      <c r="H36" s="16">
        <v>120000</v>
      </c>
      <c r="I36" s="17">
        <v>13920000</v>
      </c>
      <c r="J36" s="14">
        <v>0.96666666666666667</v>
      </c>
    </row>
    <row r="37" spans="2:10" ht="18" x14ac:dyDescent="0.2">
      <c r="B37" s="20">
        <v>46041</v>
      </c>
      <c r="C37" s="16" t="s">
        <v>43</v>
      </c>
      <c r="D37" s="16" t="s">
        <v>4</v>
      </c>
      <c r="E37" s="16" t="s">
        <v>37</v>
      </c>
      <c r="F37" s="16">
        <v>100</v>
      </c>
      <c r="G37" s="16">
        <v>57</v>
      </c>
      <c r="H37" s="16">
        <v>90000</v>
      </c>
      <c r="I37" s="17">
        <v>5130000</v>
      </c>
      <c r="J37" s="14">
        <v>0.56999999999999995</v>
      </c>
    </row>
    <row r="38" spans="2:10" ht="18" x14ac:dyDescent="0.2">
      <c r="B38" s="20">
        <v>46046</v>
      </c>
      <c r="C38" s="16" t="s">
        <v>32</v>
      </c>
      <c r="D38" s="16" t="s">
        <v>4</v>
      </c>
      <c r="E38" s="16" t="s">
        <v>33</v>
      </c>
      <c r="F38" s="16">
        <v>120</v>
      </c>
      <c r="G38" s="16">
        <v>113</v>
      </c>
      <c r="H38" s="16">
        <v>120000</v>
      </c>
      <c r="I38" s="17">
        <v>13560000</v>
      </c>
      <c r="J38" s="14">
        <v>0.94166666666666665</v>
      </c>
    </row>
    <row r="39" spans="2:10" ht="18" x14ac:dyDescent="0.2">
      <c r="B39" s="20">
        <v>46049</v>
      </c>
      <c r="C39" s="16" t="s">
        <v>29</v>
      </c>
      <c r="D39" s="16" t="s">
        <v>4</v>
      </c>
      <c r="E39" s="16" t="s">
        <v>30</v>
      </c>
      <c r="F39" s="16">
        <v>150</v>
      </c>
      <c r="G39" s="16">
        <v>101</v>
      </c>
      <c r="H39" s="16">
        <v>120000</v>
      </c>
      <c r="I39" s="17">
        <v>12120000</v>
      </c>
      <c r="J39" s="14">
        <v>0.67333333333333334</v>
      </c>
    </row>
    <row r="40" spans="2:10" ht="18" x14ac:dyDescent="0.2">
      <c r="B40" s="20">
        <v>46051</v>
      </c>
      <c r="C40" s="16" t="s">
        <v>43</v>
      </c>
      <c r="D40" s="16" t="s">
        <v>4</v>
      </c>
      <c r="E40" s="16" t="s">
        <v>37</v>
      </c>
      <c r="F40" s="16">
        <v>100</v>
      </c>
      <c r="G40" s="16">
        <v>77</v>
      </c>
      <c r="H40" s="16">
        <v>75000</v>
      </c>
      <c r="I40" s="17">
        <v>5775000</v>
      </c>
      <c r="J40" s="14">
        <v>0.77</v>
      </c>
    </row>
    <row r="41" spans="2:10" ht="18" x14ac:dyDescent="0.2">
      <c r="B41" s="20">
        <v>46052</v>
      </c>
      <c r="C41" s="16" t="s">
        <v>43</v>
      </c>
      <c r="D41" s="16" t="s">
        <v>4</v>
      </c>
      <c r="E41" s="16" t="s">
        <v>37</v>
      </c>
      <c r="F41" s="16">
        <v>100</v>
      </c>
      <c r="G41" s="16">
        <v>100</v>
      </c>
      <c r="H41" s="16">
        <v>75000</v>
      </c>
      <c r="I41" s="17">
        <v>7500000</v>
      </c>
      <c r="J41" s="14">
        <v>1</v>
      </c>
    </row>
    <row r="42" spans="2:10" ht="18" x14ac:dyDescent="0.2">
      <c r="B42" s="20">
        <v>46054</v>
      </c>
      <c r="C42" s="16" t="s">
        <v>43</v>
      </c>
      <c r="D42" s="16" t="s">
        <v>4</v>
      </c>
      <c r="E42" s="16" t="s">
        <v>37</v>
      </c>
      <c r="F42" s="16">
        <v>100</v>
      </c>
      <c r="G42" s="16">
        <v>50</v>
      </c>
      <c r="H42" s="16">
        <v>90000</v>
      </c>
      <c r="I42" s="17">
        <v>4500000</v>
      </c>
      <c r="J42" s="14">
        <v>0.5</v>
      </c>
    </row>
    <row r="43" spans="2:10" ht="18" x14ac:dyDescent="0.2">
      <c r="B43" s="20">
        <v>46057</v>
      </c>
      <c r="C43" s="16" t="s">
        <v>32</v>
      </c>
      <c r="D43" s="16" t="s">
        <v>4</v>
      </c>
      <c r="E43" s="16" t="s">
        <v>33</v>
      </c>
      <c r="F43" s="16">
        <v>120</v>
      </c>
      <c r="G43" s="16">
        <v>116</v>
      </c>
      <c r="H43" s="16">
        <v>120000</v>
      </c>
      <c r="I43" s="17">
        <v>13920000</v>
      </c>
      <c r="J43" s="14">
        <v>0.96666666666666667</v>
      </c>
    </row>
    <row r="44" spans="2:10" ht="18" x14ac:dyDescent="0.2">
      <c r="B44" s="20">
        <v>46065</v>
      </c>
      <c r="C44" s="16" t="s">
        <v>29</v>
      </c>
      <c r="D44" s="16" t="s">
        <v>4</v>
      </c>
      <c r="E44" s="16" t="s">
        <v>30</v>
      </c>
      <c r="F44" s="16">
        <v>150</v>
      </c>
      <c r="G44" s="16">
        <v>146</v>
      </c>
      <c r="H44" s="16">
        <v>75000</v>
      </c>
      <c r="I44" s="17">
        <v>10950000</v>
      </c>
      <c r="J44" s="14">
        <v>0.97333333333333338</v>
      </c>
    </row>
    <row r="45" spans="2:10" ht="18" x14ac:dyDescent="0.2">
      <c r="B45" s="20">
        <v>46068</v>
      </c>
      <c r="C45" s="16" t="s">
        <v>32</v>
      </c>
      <c r="D45" s="16" t="s">
        <v>4</v>
      </c>
      <c r="E45" s="16" t="s">
        <v>33</v>
      </c>
      <c r="F45" s="16">
        <v>120</v>
      </c>
      <c r="G45" s="16">
        <v>108</v>
      </c>
      <c r="H45" s="16">
        <v>75000</v>
      </c>
      <c r="I45" s="17">
        <v>8100000</v>
      </c>
      <c r="J45" s="14">
        <v>0.9</v>
      </c>
    </row>
    <row r="46" spans="2:10" ht="18" x14ac:dyDescent="0.2">
      <c r="B46" s="20">
        <v>46074</v>
      </c>
      <c r="C46" s="16" t="s">
        <v>43</v>
      </c>
      <c r="D46" s="16" t="s">
        <v>4</v>
      </c>
      <c r="E46" s="16" t="s">
        <v>37</v>
      </c>
      <c r="F46" s="16">
        <v>100</v>
      </c>
      <c r="G46" s="16">
        <v>80</v>
      </c>
      <c r="H46" s="16">
        <v>90000</v>
      </c>
      <c r="I46" s="17">
        <v>7200000</v>
      </c>
      <c r="J46" s="14">
        <v>0.8</v>
      </c>
    </row>
    <row r="47" spans="2:10" ht="18" x14ac:dyDescent="0.2">
      <c r="B47" s="20">
        <v>46076</v>
      </c>
      <c r="C47" s="16" t="s">
        <v>32</v>
      </c>
      <c r="D47" s="16" t="s">
        <v>4</v>
      </c>
      <c r="E47" s="16" t="s">
        <v>33</v>
      </c>
      <c r="F47" s="16">
        <v>120</v>
      </c>
      <c r="G47" s="16">
        <v>51</v>
      </c>
      <c r="H47" s="16">
        <v>75000</v>
      </c>
      <c r="I47" s="17">
        <v>3825000</v>
      </c>
      <c r="J47" s="14">
        <v>0.42499999999999999</v>
      </c>
    </row>
    <row r="48" spans="2:10" ht="18" x14ac:dyDescent="0.2">
      <c r="B48" s="20">
        <v>46077</v>
      </c>
      <c r="C48" s="16" t="s">
        <v>43</v>
      </c>
      <c r="D48" s="16" t="s">
        <v>4</v>
      </c>
      <c r="E48" s="16" t="s">
        <v>37</v>
      </c>
      <c r="F48" s="16">
        <v>100</v>
      </c>
      <c r="G48" s="16">
        <v>84</v>
      </c>
      <c r="H48" s="16">
        <v>90000</v>
      </c>
      <c r="I48" s="17">
        <v>7560000</v>
      </c>
      <c r="J48" s="14">
        <v>0.84</v>
      </c>
    </row>
    <row r="49" spans="2:10" ht="18" x14ac:dyDescent="0.2">
      <c r="B49" s="20">
        <v>46079</v>
      </c>
      <c r="C49" s="16" t="s">
        <v>43</v>
      </c>
      <c r="D49" s="16" t="s">
        <v>4</v>
      </c>
      <c r="E49" s="16" t="s">
        <v>37</v>
      </c>
      <c r="F49" s="16">
        <v>100</v>
      </c>
      <c r="G49" s="16">
        <v>58</v>
      </c>
      <c r="H49" s="16">
        <v>120000</v>
      </c>
      <c r="I49" s="17">
        <v>6960000</v>
      </c>
      <c r="J49" s="14">
        <v>0.57999999999999996</v>
      </c>
    </row>
    <row r="50" spans="2:10" ht="18" x14ac:dyDescent="0.2">
      <c r="B50" s="20">
        <v>46080</v>
      </c>
      <c r="C50" s="16" t="s">
        <v>29</v>
      </c>
      <c r="D50" s="16" t="s">
        <v>4</v>
      </c>
      <c r="E50" s="16" t="s">
        <v>30</v>
      </c>
      <c r="F50" s="16">
        <v>150</v>
      </c>
      <c r="G50" s="16">
        <v>72</v>
      </c>
      <c r="H50" s="16">
        <v>85000</v>
      </c>
      <c r="I50" s="17">
        <v>6120000</v>
      </c>
      <c r="J50" s="14">
        <v>0.48</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Showtimes_Master</vt:lpstr>
      <vt:lpstr>Partners</vt:lpstr>
      <vt:lpstr>SALES</vt:lpstr>
      <vt:lpstr>DASHBOARD</vt:lpstr>
      <vt:lpstr>VBA</vt:lpstr>
      <vt:lpstr>VBA!Criteria</vt:lpstr>
      <vt:lpstr>VBA!Extract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Duyen Nguyen</dc:creator>
  <cp:lastModifiedBy>Duyen Nguyen</cp:lastModifiedBy>
  <dcterms:created xsi:type="dcterms:W3CDTF">2026-02-24T11:37:22Z</dcterms:created>
  <dcterms:modified xsi:type="dcterms:W3CDTF">2026-02-27T10:04:23Z</dcterms:modified>
</cp:coreProperties>
</file>